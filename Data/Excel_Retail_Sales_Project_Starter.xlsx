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01. Github Repository\Excel-Retail-Sales-Business-Analysis\Data\"/>
    </mc:Choice>
  </mc:AlternateContent>
  <xr:revisionPtr revIDLastSave="0" documentId="13_ncr:1_{6477CB1D-84AC-4AFB-A734-93E77593F7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0" r:id="rId1"/>
    <sheet name="Pivot_Category" sheetId="5" r:id="rId2"/>
    <sheet name="Pivot_Region" sheetId="6" r:id="rId3"/>
    <sheet name="Pivot_Segment" sheetId="7" r:id="rId4"/>
    <sheet name="Pivot_Monthly" sheetId="8" r:id="rId5"/>
    <sheet name="Raw_Sales" sheetId="1" r:id="rId6"/>
    <sheet name="Products" sheetId="2" r:id="rId7"/>
    <sheet name="Customers" sheetId="3" r:id="rId8"/>
    <sheet name="Instructions" sheetId="4" r:id="rId9"/>
  </sheets>
  <calcPr calcId="191029"/>
  <pivotCaches>
    <pivotCache cacheId="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0" l="1"/>
  <c r="G5" i="10"/>
  <c r="D5" i="10"/>
  <c r="A5" i="10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2" i="1"/>
  <c r="M36" i="1"/>
  <c r="M52" i="1"/>
  <c r="M59" i="1"/>
  <c r="M60" i="1"/>
  <c r="M61" i="1"/>
  <c r="M62" i="1"/>
  <c r="M64" i="1"/>
  <c r="M100" i="1"/>
  <c r="M116" i="1"/>
  <c r="M123" i="1"/>
  <c r="M132" i="1"/>
  <c r="M148" i="1"/>
  <c r="M164" i="1"/>
  <c r="M196" i="1"/>
  <c r="M212" i="1"/>
  <c r="M219" i="1"/>
  <c r="M220" i="1"/>
  <c r="M221" i="1"/>
  <c r="M244" i="1"/>
  <c r="M260" i="1"/>
  <c r="M292" i="1"/>
  <c r="M308" i="1"/>
  <c r="M315" i="1"/>
  <c r="M316" i="1"/>
  <c r="M317" i="1"/>
  <c r="M318" i="1"/>
  <c r="M320" i="1"/>
  <c r="M356" i="1"/>
  <c r="M372" i="1"/>
  <c r="M378" i="1"/>
  <c r="M404" i="1"/>
  <c r="M420" i="1"/>
  <c r="M436" i="1"/>
  <c r="M448" i="1"/>
  <c r="M468" i="1"/>
  <c r="M484" i="1"/>
  <c r="M490" i="1"/>
  <c r="M49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2" i="1"/>
  <c r="I3" i="1"/>
  <c r="M3" i="1" s="1"/>
  <c r="I4" i="1"/>
  <c r="M4" i="1" s="1"/>
  <c r="I5" i="1"/>
  <c r="M5" i="1" s="1"/>
  <c r="I6" i="1"/>
  <c r="M6" i="1" s="1"/>
  <c r="I7" i="1"/>
  <c r="M7" i="1" s="1"/>
  <c r="I8" i="1"/>
  <c r="M8" i="1" s="1"/>
  <c r="I9" i="1"/>
  <c r="M9" i="1" s="1"/>
  <c r="I10" i="1"/>
  <c r="M10" i="1" s="1"/>
  <c r="I11" i="1"/>
  <c r="M11" i="1" s="1"/>
  <c r="I12" i="1"/>
  <c r="M12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M22" i="1" s="1"/>
  <c r="I23" i="1"/>
  <c r="M23" i="1" s="1"/>
  <c r="I24" i="1"/>
  <c r="M24" i="1" s="1"/>
  <c r="I25" i="1"/>
  <c r="M25" i="1" s="1"/>
  <c r="I26" i="1"/>
  <c r="M26" i="1" s="1"/>
  <c r="I27" i="1"/>
  <c r="M27" i="1" s="1"/>
  <c r="I28" i="1"/>
  <c r="M28" i="1" s="1"/>
  <c r="I29" i="1"/>
  <c r="M29" i="1" s="1"/>
  <c r="I30" i="1"/>
  <c r="M30" i="1" s="1"/>
  <c r="I31" i="1"/>
  <c r="M31" i="1" s="1"/>
  <c r="I32" i="1"/>
  <c r="M32" i="1" s="1"/>
  <c r="I33" i="1"/>
  <c r="M33" i="1" s="1"/>
  <c r="I34" i="1"/>
  <c r="M34" i="1" s="1"/>
  <c r="I35" i="1"/>
  <c r="M35" i="1" s="1"/>
  <c r="I36" i="1"/>
  <c r="I37" i="1"/>
  <c r="M37" i="1" s="1"/>
  <c r="I38" i="1"/>
  <c r="M38" i="1" s="1"/>
  <c r="I39" i="1"/>
  <c r="M39" i="1" s="1"/>
  <c r="I40" i="1"/>
  <c r="M40" i="1" s="1"/>
  <c r="I41" i="1"/>
  <c r="M41" i="1" s="1"/>
  <c r="I42" i="1"/>
  <c r="M42" i="1" s="1"/>
  <c r="I43" i="1"/>
  <c r="M43" i="1" s="1"/>
  <c r="I44" i="1"/>
  <c r="M44" i="1" s="1"/>
  <c r="I45" i="1"/>
  <c r="M45" i="1" s="1"/>
  <c r="I46" i="1"/>
  <c r="M46" i="1" s="1"/>
  <c r="I47" i="1"/>
  <c r="M47" i="1" s="1"/>
  <c r="I48" i="1"/>
  <c r="M48" i="1" s="1"/>
  <c r="I49" i="1"/>
  <c r="M49" i="1" s="1"/>
  <c r="I50" i="1"/>
  <c r="M50" i="1" s="1"/>
  <c r="I51" i="1"/>
  <c r="M51" i="1" s="1"/>
  <c r="I52" i="1"/>
  <c r="I53" i="1"/>
  <c r="M53" i="1" s="1"/>
  <c r="I54" i="1"/>
  <c r="M54" i="1" s="1"/>
  <c r="I55" i="1"/>
  <c r="M55" i="1" s="1"/>
  <c r="I56" i="1"/>
  <c r="M56" i="1" s="1"/>
  <c r="I57" i="1"/>
  <c r="M57" i="1" s="1"/>
  <c r="I58" i="1"/>
  <c r="M58" i="1" s="1"/>
  <c r="I59" i="1"/>
  <c r="I60" i="1"/>
  <c r="I61" i="1"/>
  <c r="I62" i="1"/>
  <c r="I63" i="1"/>
  <c r="M63" i="1" s="1"/>
  <c r="I64" i="1"/>
  <c r="I65" i="1"/>
  <c r="M65" i="1" s="1"/>
  <c r="I66" i="1"/>
  <c r="M66" i="1" s="1"/>
  <c r="I67" i="1"/>
  <c r="M67" i="1" s="1"/>
  <c r="I68" i="1"/>
  <c r="M68" i="1" s="1"/>
  <c r="I69" i="1"/>
  <c r="M69" i="1" s="1"/>
  <c r="I70" i="1"/>
  <c r="M70" i="1" s="1"/>
  <c r="I71" i="1"/>
  <c r="M71" i="1" s="1"/>
  <c r="I72" i="1"/>
  <c r="M72" i="1" s="1"/>
  <c r="I73" i="1"/>
  <c r="M73" i="1" s="1"/>
  <c r="I74" i="1"/>
  <c r="M74" i="1" s="1"/>
  <c r="I75" i="1"/>
  <c r="M75" i="1" s="1"/>
  <c r="I76" i="1"/>
  <c r="M76" i="1" s="1"/>
  <c r="I77" i="1"/>
  <c r="M77" i="1" s="1"/>
  <c r="I78" i="1"/>
  <c r="M78" i="1" s="1"/>
  <c r="I79" i="1"/>
  <c r="M79" i="1" s="1"/>
  <c r="I80" i="1"/>
  <c r="M80" i="1" s="1"/>
  <c r="I81" i="1"/>
  <c r="M81" i="1" s="1"/>
  <c r="I82" i="1"/>
  <c r="M82" i="1" s="1"/>
  <c r="I83" i="1"/>
  <c r="M83" i="1" s="1"/>
  <c r="I84" i="1"/>
  <c r="M84" i="1" s="1"/>
  <c r="I85" i="1"/>
  <c r="M85" i="1" s="1"/>
  <c r="I86" i="1"/>
  <c r="M86" i="1" s="1"/>
  <c r="I87" i="1"/>
  <c r="M87" i="1" s="1"/>
  <c r="I88" i="1"/>
  <c r="M88" i="1" s="1"/>
  <c r="I89" i="1"/>
  <c r="M89" i="1" s="1"/>
  <c r="I90" i="1"/>
  <c r="M90" i="1" s="1"/>
  <c r="I91" i="1"/>
  <c r="M91" i="1" s="1"/>
  <c r="I92" i="1"/>
  <c r="M92" i="1" s="1"/>
  <c r="I93" i="1"/>
  <c r="M93" i="1" s="1"/>
  <c r="I94" i="1"/>
  <c r="M94" i="1" s="1"/>
  <c r="I95" i="1"/>
  <c r="M95" i="1" s="1"/>
  <c r="I96" i="1"/>
  <c r="M96" i="1" s="1"/>
  <c r="I97" i="1"/>
  <c r="M97" i="1" s="1"/>
  <c r="I98" i="1"/>
  <c r="M98" i="1" s="1"/>
  <c r="I99" i="1"/>
  <c r="M99" i="1" s="1"/>
  <c r="I100" i="1"/>
  <c r="I101" i="1"/>
  <c r="M101" i="1" s="1"/>
  <c r="I102" i="1"/>
  <c r="M102" i="1" s="1"/>
  <c r="I103" i="1"/>
  <c r="M103" i="1" s="1"/>
  <c r="I104" i="1"/>
  <c r="M104" i="1" s="1"/>
  <c r="I105" i="1"/>
  <c r="M105" i="1" s="1"/>
  <c r="I106" i="1"/>
  <c r="M106" i="1" s="1"/>
  <c r="I107" i="1"/>
  <c r="M107" i="1" s="1"/>
  <c r="I108" i="1"/>
  <c r="M108" i="1" s="1"/>
  <c r="I109" i="1"/>
  <c r="M109" i="1" s="1"/>
  <c r="I110" i="1"/>
  <c r="M110" i="1" s="1"/>
  <c r="I111" i="1"/>
  <c r="M111" i="1" s="1"/>
  <c r="I112" i="1"/>
  <c r="M112" i="1" s="1"/>
  <c r="I113" i="1"/>
  <c r="M113" i="1" s="1"/>
  <c r="I114" i="1"/>
  <c r="M114" i="1" s="1"/>
  <c r="I115" i="1"/>
  <c r="M115" i="1" s="1"/>
  <c r="I116" i="1"/>
  <c r="I117" i="1"/>
  <c r="M117" i="1" s="1"/>
  <c r="I118" i="1"/>
  <c r="M118" i="1" s="1"/>
  <c r="I119" i="1"/>
  <c r="M119" i="1" s="1"/>
  <c r="I120" i="1"/>
  <c r="M120" i="1" s="1"/>
  <c r="I121" i="1"/>
  <c r="M121" i="1" s="1"/>
  <c r="I122" i="1"/>
  <c r="M122" i="1" s="1"/>
  <c r="I123" i="1"/>
  <c r="I124" i="1"/>
  <c r="M124" i="1" s="1"/>
  <c r="I125" i="1"/>
  <c r="M125" i="1" s="1"/>
  <c r="I126" i="1"/>
  <c r="M126" i="1" s="1"/>
  <c r="I127" i="1"/>
  <c r="M127" i="1" s="1"/>
  <c r="I128" i="1"/>
  <c r="M128" i="1" s="1"/>
  <c r="I129" i="1"/>
  <c r="M129" i="1" s="1"/>
  <c r="I130" i="1"/>
  <c r="M130" i="1" s="1"/>
  <c r="I131" i="1"/>
  <c r="M131" i="1" s="1"/>
  <c r="I132" i="1"/>
  <c r="I133" i="1"/>
  <c r="M133" i="1" s="1"/>
  <c r="I134" i="1"/>
  <c r="M134" i="1" s="1"/>
  <c r="I135" i="1"/>
  <c r="M135" i="1" s="1"/>
  <c r="I136" i="1"/>
  <c r="M136" i="1" s="1"/>
  <c r="I137" i="1"/>
  <c r="M137" i="1" s="1"/>
  <c r="I138" i="1"/>
  <c r="M138" i="1" s="1"/>
  <c r="I139" i="1"/>
  <c r="M139" i="1" s="1"/>
  <c r="I140" i="1"/>
  <c r="M140" i="1" s="1"/>
  <c r="I141" i="1"/>
  <c r="M141" i="1" s="1"/>
  <c r="I142" i="1"/>
  <c r="M142" i="1" s="1"/>
  <c r="I143" i="1"/>
  <c r="M143" i="1" s="1"/>
  <c r="I144" i="1"/>
  <c r="M144" i="1" s="1"/>
  <c r="I145" i="1"/>
  <c r="M145" i="1" s="1"/>
  <c r="I146" i="1"/>
  <c r="M146" i="1" s="1"/>
  <c r="I147" i="1"/>
  <c r="M147" i="1" s="1"/>
  <c r="I148" i="1"/>
  <c r="I149" i="1"/>
  <c r="M149" i="1" s="1"/>
  <c r="I150" i="1"/>
  <c r="M150" i="1" s="1"/>
  <c r="I151" i="1"/>
  <c r="M151" i="1" s="1"/>
  <c r="I152" i="1"/>
  <c r="M152" i="1" s="1"/>
  <c r="I153" i="1"/>
  <c r="M153" i="1" s="1"/>
  <c r="I154" i="1"/>
  <c r="M154" i="1" s="1"/>
  <c r="I155" i="1"/>
  <c r="M155" i="1" s="1"/>
  <c r="I156" i="1"/>
  <c r="M156" i="1" s="1"/>
  <c r="I157" i="1"/>
  <c r="M157" i="1" s="1"/>
  <c r="I158" i="1"/>
  <c r="M158" i="1" s="1"/>
  <c r="I159" i="1"/>
  <c r="M159" i="1" s="1"/>
  <c r="I160" i="1"/>
  <c r="M160" i="1" s="1"/>
  <c r="I161" i="1"/>
  <c r="M161" i="1" s="1"/>
  <c r="I162" i="1"/>
  <c r="M162" i="1" s="1"/>
  <c r="I163" i="1"/>
  <c r="M163" i="1" s="1"/>
  <c r="I164" i="1"/>
  <c r="I165" i="1"/>
  <c r="M165" i="1" s="1"/>
  <c r="I166" i="1"/>
  <c r="M166" i="1" s="1"/>
  <c r="I167" i="1"/>
  <c r="M167" i="1" s="1"/>
  <c r="I168" i="1"/>
  <c r="M168" i="1" s="1"/>
  <c r="I169" i="1"/>
  <c r="M169" i="1" s="1"/>
  <c r="I170" i="1"/>
  <c r="M170" i="1" s="1"/>
  <c r="I171" i="1"/>
  <c r="M171" i="1" s="1"/>
  <c r="I172" i="1"/>
  <c r="M172" i="1" s="1"/>
  <c r="I173" i="1"/>
  <c r="M173" i="1" s="1"/>
  <c r="I174" i="1"/>
  <c r="M174" i="1" s="1"/>
  <c r="I175" i="1"/>
  <c r="M175" i="1" s="1"/>
  <c r="I176" i="1"/>
  <c r="M176" i="1" s="1"/>
  <c r="I177" i="1"/>
  <c r="M177" i="1" s="1"/>
  <c r="I178" i="1"/>
  <c r="M178" i="1" s="1"/>
  <c r="I179" i="1"/>
  <c r="M179" i="1" s="1"/>
  <c r="I180" i="1"/>
  <c r="M180" i="1" s="1"/>
  <c r="I181" i="1"/>
  <c r="M181" i="1" s="1"/>
  <c r="I182" i="1"/>
  <c r="M182" i="1" s="1"/>
  <c r="I183" i="1"/>
  <c r="M183" i="1" s="1"/>
  <c r="I184" i="1"/>
  <c r="M184" i="1" s="1"/>
  <c r="I185" i="1"/>
  <c r="M185" i="1" s="1"/>
  <c r="I186" i="1"/>
  <c r="M186" i="1" s="1"/>
  <c r="I187" i="1"/>
  <c r="M187" i="1" s="1"/>
  <c r="I188" i="1"/>
  <c r="M188" i="1" s="1"/>
  <c r="I189" i="1"/>
  <c r="M189" i="1" s="1"/>
  <c r="I190" i="1"/>
  <c r="M190" i="1" s="1"/>
  <c r="I191" i="1"/>
  <c r="M191" i="1" s="1"/>
  <c r="I192" i="1"/>
  <c r="M192" i="1" s="1"/>
  <c r="I193" i="1"/>
  <c r="M193" i="1" s="1"/>
  <c r="I194" i="1"/>
  <c r="M194" i="1" s="1"/>
  <c r="I195" i="1"/>
  <c r="M195" i="1" s="1"/>
  <c r="I196" i="1"/>
  <c r="I197" i="1"/>
  <c r="M197" i="1" s="1"/>
  <c r="I198" i="1"/>
  <c r="M198" i="1" s="1"/>
  <c r="I199" i="1"/>
  <c r="M199" i="1" s="1"/>
  <c r="I200" i="1"/>
  <c r="M200" i="1" s="1"/>
  <c r="I201" i="1"/>
  <c r="M201" i="1" s="1"/>
  <c r="I202" i="1"/>
  <c r="M202" i="1" s="1"/>
  <c r="I203" i="1"/>
  <c r="M203" i="1" s="1"/>
  <c r="I204" i="1"/>
  <c r="M204" i="1" s="1"/>
  <c r="I205" i="1"/>
  <c r="M205" i="1" s="1"/>
  <c r="I206" i="1"/>
  <c r="M206" i="1" s="1"/>
  <c r="I207" i="1"/>
  <c r="M207" i="1" s="1"/>
  <c r="I208" i="1"/>
  <c r="M208" i="1" s="1"/>
  <c r="I209" i="1"/>
  <c r="M209" i="1" s="1"/>
  <c r="I210" i="1"/>
  <c r="M210" i="1" s="1"/>
  <c r="I211" i="1"/>
  <c r="M211" i="1" s="1"/>
  <c r="I212" i="1"/>
  <c r="I213" i="1"/>
  <c r="M213" i="1" s="1"/>
  <c r="I214" i="1"/>
  <c r="M214" i="1" s="1"/>
  <c r="I215" i="1"/>
  <c r="M215" i="1" s="1"/>
  <c r="I216" i="1"/>
  <c r="M216" i="1" s="1"/>
  <c r="I217" i="1"/>
  <c r="M217" i="1" s="1"/>
  <c r="I218" i="1"/>
  <c r="M218" i="1" s="1"/>
  <c r="I219" i="1"/>
  <c r="I220" i="1"/>
  <c r="I221" i="1"/>
  <c r="I222" i="1"/>
  <c r="M222" i="1" s="1"/>
  <c r="I223" i="1"/>
  <c r="M223" i="1" s="1"/>
  <c r="I224" i="1"/>
  <c r="M224" i="1" s="1"/>
  <c r="I225" i="1"/>
  <c r="M225" i="1" s="1"/>
  <c r="I226" i="1"/>
  <c r="M226" i="1" s="1"/>
  <c r="I227" i="1"/>
  <c r="M227" i="1" s="1"/>
  <c r="I228" i="1"/>
  <c r="M228" i="1" s="1"/>
  <c r="I229" i="1"/>
  <c r="M229" i="1" s="1"/>
  <c r="I230" i="1"/>
  <c r="M230" i="1" s="1"/>
  <c r="I231" i="1"/>
  <c r="M231" i="1" s="1"/>
  <c r="I232" i="1"/>
  <c r="M232" i="1" s="1"/>
  <c r="I233" i="1"/>
  <c r="M233" i="1" s="1"/>
  <c r="I234" i="1"/>
  <c r="M234" i="1" s="1"/>
  <c r="I235" i="1"/>
  <c r="M235" i="1" s="1"/>
  <c r="I236" i="1"/>
  <c r="M236" i="1" s="1"/>
  <c r="I237" i="1"/>
  <c r="M237" i="1" s="1"/>
  <c r="I238" i="1"/>
  <c r="M238" i="1" s="1"/>
  <c r="I239" i="1"/>
  <c r="M239" i="1" s="1"/>
  <c r="I240" i="1"/>
  <c r="M240" i="1" s="1"/>
  <c r="I241" i="1"/>
  <c r="M241" i="1" s="1"/>
  <c r="I242" i="1"/>
  <c r="M242" i="1" s="1"/>
  <c r="I243" i="1"/>
  <c r="M243" i="1" s="1"/>
  <c r="I244" i="1"/>
  <c r="I245" i="1"/>
  <c r="M245" i="1" s="1"/>
  <c r="I246" i="1"/>
  <c r="M246" i="1" s="1"/>
  <c r="I247" i="1"/>
  <c r="M247" i="1" s="1"/>
  <c r="I248" i="1"/>
  <c r="M248" i="1" s="1"/>
  <c r="I249" i="1"/>
  <c r="M249" i="1" s="1"/>
  <c r="I250" i="1"/>
  <c r="M250" i="1" s="1"/>
  <c r="I251" i="1"/>
  <c r="M251" i="1" s="1"/>
  <c r="I252" i="1"/>
  <c r="M252" i="1" s="1"/>
  <c r="I253" i="1"/>
  <c r="M253" i="1" s="1"/>
  <c r="I254" i="1"/>
  <c r="M254" i="1" s="1"/>
  <c r="I255" i="1"/>
  <c r="M255" i="1" s="1"/>
  <c r="I256" i="1"/>
  <c r="M256" i="1" s="1"/>
  <c r="I257" i="1"/>
  <c r="M257" i="1" s="1"/>
  <c r="I258" i="1"/>
  <c r="M258" i="1" s="1"/>
  <c r="I259" i="1"/>
  <c r="M259" i="1" s="1"/>
  <c r="I260" i="1"/>
  <c r="I261" i="1"/>
  <c r="M261" i="1" s="1"/>
  <c r="I262" i="1"/>
  <c r="M262" i="1" s="1"/>
  <c r="I263" i="1"/>
  <c r="M263" i="1" s="1"/>
  <c r="I264" i="1"/>
  <c r="M264" i="1" s="1"/>
  <c r="I265" i="1"/>
  <c r="M265" i="1" s="1"/>
  <c r="I266" i="1"/>
  <c r="M266" i="1" s="1"/>
  <c r="I267" i="1"/>
  <c r="M267" i="1" s="1"/>
  <c r="I268" i="1"/>
  <c r="M268" i="1" s="1"/>
  <c r="I269" i="1"/>
  <c r="M269" i="1" s="1"/>
  <c r="I270" i="1"/>
  <c r="M270" i="1" s="1"/>
  <c r="I271" i="1"/>
  <c r="M271" i="1" s="1"/>
  <c r="I272" i="1"/>
  <c r="M272" i="1" s="1"/>
  <c r="I273" i="1"/>
  <c r="M273" i="1" s="1"/>
  <c r="I274" i="1"/>
  <c r="M274" i="1" s="1"/>
  <c r="I275" i="1"/>
  <c r="M275" i="1" s="1"/>
  <c r="I276" i="1"/>
  <c r="M276" i="1" s="1"/>
  <c r="I277" i="1"/>
  <c r="M277" i="1" s="1"/>
  <c r="I278" i="1"/>
  <c r="M278" i="1" s="1"/>
  <c r="I279" i="1"/>
  <c r="M279" i="1" s="1"/>
  <c r="I280" i="1"/>
  <c r="M280" i="1" s="1"/>
  <c r="I281" i="1"/>
  <c r="M281" i="1" s="1"/>
  <c r="I282" i="1"/>
  <c r="M282" i="1" s="1"/>
  <c r="I283" i="1"/>
  <c r="M283" i="1" s="1"/>
  <c r="I284" i="1"/>
  <c r="M284" i="1" s="1"/>
  <c r="I285" i="1"/>
  <c r="M285" i="1" s="1"/>
  <c r="I286" i="1"/>
  <c r="M286" i="1" s="1"/>
  <c r="I287" i="1"/>
  <c r="M287" i="1" s="1"/>
  <c r="I288" i="1"/>
  <c r="M288" i="1" s="1"/>
  <c r="I289" i="1"/>
  <c r="M289" i="1" s="1"/>
  <c r="I290" i="1"/>
  <c r="M290" i="1" s="1"/>
  <c r="I291" i="1"/>
  <c r="M291" i="1" s="1"/>
  <c r="I292" i="1"/>
  <c r="I293" i="1"/>
  <c r="M293" i="1" s="1"/>
  <c r="I294" i="1"/>
  <c r="M294" i="1" s="1"/>
  <c r="I295" i="1"/>
  <c r="M295" i="1" s="1"/>
  <c r="I296" i="1"/>
  <c r="M296" i="1" s="1"/>
  <c r="I297" i="1"/>
  <c r="M297" i="1" s="1"/>
  <c r="I298" i="1"/>
  <c r="M298" i="1" s="1"/>
  <c r="I299" i="1"/>
  <c r="M299" i="1" s="1"/>
  <c r="I300" i="1"/>
  <c r="M300" i="1" s="1"/>
  <c r="I301" i="1"/>
  <c r="M301" i="1" s="1"/>
  <c r="I302" i="1"/>
  <c r="M302" i="1" s="1"/>
  <c r="I303" i="1"/>
  <c r="M303" i="1" s="1"/>
  <c r="I304" i="1"/>
  <c r="M304" i="1" s="1"/>
  <c r="I305" i="1"/>
  <c r="M305" i="1" s="1"/>
  <c r="I306" i="1"/>
  <c r="M306" i="1" s="1"/>
  <c r="I307" i="1"/>
  <c r="M307" i="1" s="1"/>
  <c r="I308" i="1"/>
  <c r="I309" i="1"/>
  <c r="M309" i="1" s="1"/>
  <c r="I310" i="1"/>
  <c r="M310" i="1" s="1"/>
  <c r="I311" i="1"/>
  <c r="M311" i="1" s="1"/>
  <c r="I312" i="1"/>
  <c r="M312" i="1" s="1"/>
  <c r="I313" i="1"/>
  <c r="M313" i="1" s="1"/>
  <c r="I314" i="1"/>
  <c r="M314" i="1" s="1"/>
  <c r="I315" i="1"/>
  <c r="I316" i="1"/>
  <c r="I317" i="1"/>
  <c r="I318" i="1"/>
  <c r="I319" i="1"/>
  <c r="M319" i="1" s="1"/>
  <c r="I320" i="1"/>
  <c r="I321" i="1"/>
  <c r="M321" i="1" s="1"/>
  <c r="I322" i="1"/>
  <c r="M322" i="1" s="1"/>
  <c r="I323" i="1"/>
  <c r="M323" i="1" s="1"/>
  <c r="I324" i="1"/>
  <c r="M324" i="1" s="1"/>
  <c r="I325" i="1"/>
  <c r="M325" i="1" s="1"/>
  <c r="I326" i="1"/>
  <c r="M326" i="1" s="1"/>
  <c r="I327" i="1"/>
  <c r="M327" i="1" s="1"/>
  <c r="I328" i="1"/>
  <c r="M328" i="1" s="1"/>
  <c r="I329" i="1"/>
  <c r="M329" i="1" s="1"/>
  <c r="I330" i="1"/>
  <c r="M330" i="1" s="1"/>
  <c r="I331" i="1"/>
  <c r="M331" i="1" s="1"/>
  <c r="I332" i="1"/>
  <c r="M332" i="1" s="1"/>
  <c r="I333" i="1"/>
  <c r="M333" i="1" s="1"/>
  <c r="I334" i="1"/>
  <c r="M334" i="1" s="1"/>
  <c r="I335" i="1"/>
  <c r="M335" i="1" s="1"/>
  <c r="I336" i="1"/>
  <c r="M336" i="1" s="1"/>
  <c r="I337" i="1"/>
  <c r="M337" i="1" s="1"/>
  <c r="I338" i="1"/>
  <c r="M338" i="1" s="1"/>
  <c r="I339" i="1"/>
  <c r="M339" i="1" s="1"/>
  <c r="I340" i="1"/>
  <c r="M340" i="1" s="1"/>
  <c r="I341" i="1"/>
  <c r="M341" i="1" s="1"/>
  <c r="I342" i="1"/>
  <c r="M342" i="1" s="1"/>
  <c r="I343" i="1"/>
  <c r="M343" i="1" s="1"/>
  <c r="I344" i="1"/>
  <c r="M344" i="1" s="1"/>
  <c r="I345" i="1"/>
  <c r="M345" i="1" s="1"/>
  <c r="I346" i="1"/>
  <c r="M346" i="1" s="1"/>
  <c r="I347" i="1"/>
  <c r="M347" i="1" s="1"/>
  <c r="I348" i="1"/>
  <c r="M348" i="1" s="1"/>
  <c r="I349" i="1"/>
  <c r="M349" i="1" s="1"/>
  <c r="I350" i="1"/>
  <c r="M350" i="1" s="1"/>
  <c r="I351" i="1"/>
  <c r="M351" i="1" s="1"/>
  <c r="I352" i="1"/>
  <c r="M352" i="1" s="1"/>
  <c r="I353" i="1"/>
  <c r="M353" i="1" s="1"/>
  <c r="I354" i="1"/>
  <c r="M354" i="1" s="1"/>
  <c r="I355" i="1"/>
  <c r="M355" i="1" s="1"/>
  <c r="I356" i="1"/>
  <c r="I357" i="1"/>
  <c r="M357" i="1" s="1"/>
  <c r="I358" i="1"/>
  <c r="M358" i="1" s="1"/>
  <c r="I359" i="1"/>
  <c r="M359" i="1" s="1"/>
  <c r="I360" i="1"/>
  <c r="M360" i="1" s="1"/>
  <c r="I361" i="1"/>
  <c r="M361" i="1" s="1"/>
  <c r="I362" i="1"/>
  <c r="M362" i="1" s="1"/>
  <c r="I363" i="1"/>
  <c r="M363" i="1" s="1"/>
  <c r="I364" i="1"/>
  <c r="M364" i="1" s="1"/>
  <c r="I365" i="1"/>
  <c r="M365" i="1" s="1"/>
  <c r="I366" i="1"/>
  <c r="M366" i="1" s="1"/>
  <c r="I367" i="1"/>
  <c r="M367" i="1" s="1"/>
  <c r="I368" i="1"/>
  <c r="M368" i="1" s="1"/>
  <c r="I369" i="1"/>
  <c r="M369" i="1" s="1"/>
  <c r="I370" i="1"/>
  <c r="M370" i="1" s="1"/>
  <c r="I371" i="1"/>
  <c r="M371" i="1" s="1"/>
  <c r="I372" i="1"/>
  <c r="I373" i="1"/>
  <c r="M373" i="1" s="1"/>
  <c r="I374" i="1"/>
  <c r="M374" i="1" s="1"/>
  <c r="I375" i="1"/>
  <c r="M375" i="1" s="1"/>
  <c r="I376" i="1"/>
  <c r="M376" i="1" s="1"/>
  <c r="I377" i="1"/>
  <c r="M377" i="1" s="1"/>
  <c r="I378" i="1"/>
  <c r="I379" i="1"/>
  <c r="M379" i="1" s="1"/>
  <c r="I380" i="1"/>
  <c r="M380" i="1" s="1"/>
  <c r="I381" i="1"/>
  <c r="M381" i="1" s="1"/>
  <c r="I382" i="1"/>
  <c r="M382" i="1" s="1"/>
  <c r="I383" i="1"/>
  <c r="M383" i="1" s="1"/>
  <c r="I384" i="1"/>
  <c r="M384" i="1" s="1"/>
  <c r="I385" i="1"/>
  <c r="M385" i="1" s="1"/>
  <c r="I386" i="1"/>
  <c r="M386" i="1" s="1"/>
  <c r="I387" i="1"/>
  <c r="M387" i="1" s="1"/>
  <c r="I388" i="1"/>
  <c r="M388" i="1" s="1"/>
  <c r="I389" i="1"/>
  <c r="M389" i="1" s="1"/>
  <c r="I390" i="1"/>
  <c r="M390" i="1" s="1"/>
  <c r="I391" i="1"/>
  <c r="M391" i="1" s="1"/>
  <c r="I392" i="1"/>
  <c r="M392" i="1" s="1"/>
  <c r="I393" i="1"/>
  <c r="M393" i="1" s="1"/>
  <c r="I394" i="1"/>
  <c r="M394" i="1" s="1"/>
  <c r="I395" i="1"/>
  <c r="M395" i="1" s="1"/>
  <c r="I396" i="1"/>
  <c r="M396" i="1" s="1"/>
  <c r="I397" i="1"/>
  <c r="M397" i="1" s="1"/>
  <c r="I398" i="1"/>
  <c r="M398" i="1" s="1"/>
  <c r="I399" i="1"/>
  <c r="M399" i="1" s="1"/>
  <c r="I400" i="1"/>
  <c r="M400" i="1" s="1"/>
  <c r="I401" i="1"/>
  <c r="M401" i="1" s="1"/>
  <c r="I402" i="1"/>
  <c r="M402" i="1" s="1"/>
  <c r="I403" i="1"/>
  <c r="M403" i="1" s="1"/>
  <c r="I404" i="1"/>
  <c r="I405" i="1"/>
  <c r="M405" i="1" s="1"/>
  <c r="I406" i="1"/>
  <c r="M406" i="1" s="1"/>
  <c r="I407" i="1"/>
  <c r="M407" i="1" s="1"/>
  <c r="I408" i="1"/>
  <c r="M408" i="1" s="1"/>
  <c r="I409" i="1"/>
  <c r="M409" i="1" s="1"/>
  <c r="I410" i="1"/>
  <c r="M410" i="1" s="1"/>
  <c r="I411" i="1"/>
  <c r="M411" i="1" s="1"/>
  <c r="I412" i="1"/>
  <c r="M412" i="1" s="1"/>
  <c r="I413" i="1"/>
  <c r="M413" i="1" s="1"/>
  <c r="I414" i="1"/>
  <c r="M414" i="1" s="1"/>
  <c r="I415" i="1"/>
  <c r="M415" i="1" s="1"/>
  <c r="I416" i="1"/>
  <c r="M416" i="1" s="1"/>
  <c r="I417" i="1"/>
  <c r="M417" i="1" s="1"/>
  <c r="I418" i="1"/>
  <c r="M418" i="1" s="1"/>
  <c r="I419" i="1"/>
  <c r="M419" i="1" s="1"/>
  <c r="I420" i="1"/>
  <c r="I421" i="1"/>
  <c r="M421" i="1" s="1"/>
  <c r="I422" i="1"/>
  <c r="M422" i="1" s="1"/>
  <c r="I423" i="1"/>
  <c r="M423" i="1" s="1"/>
  <c r="I424" i="1"/>
  <c r="M424" i="1" s="1"/>
  <c r="I425" i="1"/>
  <c r="M425" i="1" s="1"/>
  <c r="I426" i="1"/>
  <c r="M426" i="1" s="1"/>
  <c r="I427" i="1"/>
  <c r="M427" i="1" s="1"/>
  <c r="I428" i="1"/>
  <c r="M428" i="1" s="1"/>
  <c r="I429" i="1"/>
  <c r="M429" i="1" s="1"/>
  <c r="I430" i="1"/>
  <c r="M430" i="1" s="1"/>
  <c r="I431" i="1"/>
  <c r="M431" i="1" s="1"/>
  <c r="I432" i="1"/>
  <c r="M432" i="1" s="1"/>
  <c r="I433" i="1"/>
  <c r="M433" i="1" s="1"/>
  <c r="I434" i="1"/>
  <c r="M434" i="1" s="1"/>
  <c r="I435" i="1"/>
  <c r="M435" i="1" s="1"/>
  <c r="I436" i="1"/>
  <c r="I437" i="1"/>
  <c r="M437" i="1" s="1"/>
  <c r="I438" i="1"/>
  <c r="M438" i="1" s="1"/>
  <c r="I439" i="1"/>
  <c r="M439" i="1" s="1"/>
  <c r="I440" i="1"/>
  <c r="M440" i="1" s="1"/>
  <c r="I441" i="1"/>
  <c r="M441" i="1" s="1"/>
  <c r="I442" i="1"/>
  <c r="M442" i="1" s="1"/>
  <c r="I443" i="1"/>
  <c r="M443" i="1" s="1"/>
  <c r="I444" i="1"/>
  <c r="M444" i="1" s="1"/>
  <c r="I445" i="1"/>
  <c r="M445" i="1" s="1"/>
  <c r="I446" i="1"/>
  <c r="M446" i="1" s="1"/>
  <c r="I447" i="1"/>
  <c r="M447" i="1" s="1"/>
  <c r="I448" i="1"/>
  <c r="I449" i="1"/>
  <c r="M449" i="1" s="1"/>
  <c r="I450" i="1"/>
  <c r="M450" i="1" s="1"/>
  <c r="I451" i="1"/>
  <c r="M451" i="1" s="1"/>
  <c r="I452" i="1"/>
  <c r="M452" i="1" s="1"/>
  <c r="I453" i="1"/>
  <c r="M453" i="1" s="1"/>
  <c r="I454" i="1"/>
  <c r="M454" i="1" s="1"/>
  <c r="I455" i="1"/>
  <c r="M455" i="1" s="1"/>
  <c r="I456" i="1"/>
  <c r="M456" i="1" s="1"/>
  <c r="I457" i="1"/>
  <c r="M457" i="1" s="1"/>
  <c r="I458" i="1"/>
  <c r="M458" i="1" s="1"/>
  <c r="I459" i="1"/>
  <c r="M459" i="1" s="1"/>
  <c r="I460" i="1"/>
  <c r="M460" i="1" s="1"/>
  <c r="I461" i="1"/>
  <c r="M461" i="1" s="1"/>
  <c r="I462" i="1"/>
  <c r="M462" i="1" s="1"/>
  <c r="I463" i="1"/>
  <c r="M463" i="1" s="1"/>
  <c r="I464" i="1"/>
  <c r="M464" i="1" s="1"/>
  <c r="I465" i="1"/>
  <c r="M465" i="1" s="1"/>
  <c r="I466" i="1"/>
  <c r="M466" i="1" s="1"/>
  <c r="I467" i="1"/>
  <c r="M467" i="1" s="1"/>
  <c r="I468" i="1"/>
  <c r="I469" i="1"/>
  <c r="M469" i="1" s="1"/>
  <c r="I470" i="1"/>
  <c r="M470" i="1" s="1"/>
  <c r="I471" i="1"/>
  <c r="M471" i="1" s="1"/>
  <c r="I472" i="1"/>
  <c r="M472" i="1" s="1"/>
  <c r="I473" i="1"/>
  <c r="M473" i="1" s="1"/>
  <c r="I474" i="1"/>
  <c r="M474" i="1" s="1"/>
  <c r="I475" i="1"/>
  <c r="M475" i="1" s="1"/>
  <c r="I476" i="1"/>
  <c r="M476" i="1" s="1"/>
  <c r="I477" i="1"/>
  <c r="M477" i="1" s="1"/>
  <c r="I478" i="1"/>
  <c r="M478" i="1" s="1"/>
  <c r="I479" i="1"/>
  <c r="M479" i="1" s="1"/>
  <c r="I480" i="1"/>
  <c r="M480" i="1" s="1"/>
  <c r="I481" i="1"/>
  <c r="M481" i="1" s="1"/>
  <c r="I482" i="1"/>
  <c r="M482" i="1" s="1"/>
  <c r="I483" i="1"/>
  <c r="M483" i="1" s="1"/>
  <c r="I484" i="1"/>
  <c r="I485" i="1"/>
  <c r="M485" i="1" s="1"/>
  <c r="I486" i="1"/>
  <c r="M486" i="1" s="1"/>
  <c r="I487" i="1"/>
  <c r="M487" i="1" s="1"/>
  <c r="I488" i="1"/>
  <c r="M488" i="1" s="1"/>
  <c r="I489" i="1"/>
  <c r="M489" i="1" s="1"/>
  <c r="I490" i="1"/>
  <c r="I491" i="1"/>
  <c r="I492" i="1"/>
  <c r="M492" i="1" s="1"/>
  <c r="I493" i="1"/>
  <c r="M493" i="1" s="1"/>
  <c r="I494" i="1"/>
  <c r="M494" i="1" s="1"/>
  <c r="I495" i="1"/>
  <c r="M495" i="1" s="1"/>
  <c r="I496" i="1"/>
  <c r="M496" i="1" s="1"/>
  <c r="I497" i="1"/>
  <c r="M497" i="1" s="1"/>
  <c r="I498" i="1"/>
  <c r="M498" i="1" s="1"/>
  <c r="I499" i="1"/>
  <c r="M499" i="1" s="1"/>
  <c r="I500" i="1"/>
  <c r="M500" i="1" s="1"/>
  <c r="I501" i="1"/>
  <c r="M501" i="1" s="1"/>
  <c r="I2" i="1"/>
  <c r="M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</calcChain>
</file>

<file path=xl/sharedStrings.xml><?xml version="1.0" encoding="utf-8"?>
<sst xmlns="http://schemas.openxmlformats.org/spreadsheetml/2006/main" count="2009" uniqueCount="782">
  <si>
    <t>Order_ID</t>
  </si>
  <si>
    <t>Order_Date</t>
  </si>
  <si>
    <t>Customer_ID</t>
  </si>
  <si>
    <t>Product_ID</t>
  </si>
  <si>
    <t>Quantity</t>
  </si>
  <si>
    <t>Discount</t>
  </si>
  <si>
    <t>O0001</t>
  </si>
  <si>
    <t>C031</t>
  </si>
  <si>
    <t>P010</t>
  </si>
  <si>
    <t>O0002</t>
  </si>
  <si>
    <t>C009</t>
  </si>
  <si>
    <t>P009</t>
  </si>
  <si>
    <t>O0003</t>
  </si>
  <si>
    <t>C061</t>
  </si>
  <si>
    <t>O0004</t>
  </si>
  <si>
    <t>C078</t>
  </si>
  <si>
    <t>P007</t>
  </si>
  <si>
    <t>O0005</t>
  </si>
  <si>
    <t>C052</t>
  </si>
  <si>
    <t>P006</t>
  </si>
  <si>
    <t>O0006</t>
  </si>
  <si>
    <t>C032</t>
  </si>
  <si>
    <t>P004</t>
  </si>
  <si>
    <t>O0007</t>
  </si>
  <si>
    <t>C076</t>
  </si>
  <si>
    <t>O0008</t>
  </si>
  <si>
    <t>C010</t>
  </si>
  <si>
    <t>P001</t>
  </si>
  <si>
    <t>O0009</t>
  </si>
  <si>
    <t>C043</t>
  </si>
  <si>
    <t>P002</t>
  </si>
  <si>
    <t>O0010</t>
  </si>
  <si>
    <t>C086</t>
  </si>
  <si>
    <t>P008</t>
  </si>
  <si>
    <t>O0011</t>
  </si>
  <si>
    <t>C074</t>
  </si>
  <si>
    <t>O0012</t>
  </si>
  <si>
    <t>C025</t>
  </si>
  <si>
    <t>O0013</t>
  </si>
  <si>
    <t>C055</t>
  </si>
  <si>
    <t>O0014</t>
  </si>
  <si>
    <t>C084</t>
  </si>
  <si>
    <t>O0015</t>
  </si>
  <si>
    <t>C014</t>
  </si>
  <si>
    <t>O0016</t>
  </si>
  <si>
    <t>C058</t>
  </si>
  <si>
    <t>P003</t>
  </si>
  <si>
    <t>O0017</t>
  </si>
  <si>
    <t>C060</t>
  </si>
  <si>
    <t>O0018</t>
  </si>
  <si>
    <t>C013</t>
  </si>
  <si>
    <t>O0019</t>
  </si>
  <si>
    <t>C097</t>
  </si>
  <si>
    <t>O0020</t>
  </si>
  <si>
    <t>C062</t>
  </si>
  <si>
    <t>O0021</t>
  </si>
  <si>
    <t>C049</t>
  </si>
  <si>
    <t>O0022</t>
  </si>
  <si>
    <t>C037</t>
  </si>
  <si>
    <t>O0023</t>
  </si>
  <si>
    <t>P005</t>
  </si>
  <si>
    <t>O0024</t>
  </si>
  <si>
    <t>C095</t>
  </si>
  <si>
    <t>O0025</t>
  </si>
  <si>
    <t>C007</t>
  </si>
  <si>
    <t>O0026</t>
  </si>
  <si>
    <t>C066</t>
  </si>
  <si>
    <t>O0027</t>
  </si>
  <si>
    <t>O0028</t>
  </si>
  <si>
    <t>O0029</t>
  </si>
  <si>
    <t>C011</t>
  </si>
  <si>
    <t>O0030</t>
  </si>
  <si>
    <t>C027</t>
  </si>
  <si>
    <t>O0031</t>
  </si>
  <si>
    <t>C017</t>
  </si>
  <si>
    <t>O0032</t>
  </si>
  <si>
    <t>C002</t>
  </si>
  <si>
    <t>O0033</t>
  </si>
  <si>
    <t>C069</t>
  </si>
  <si>
    <t>O0034</t>
  </si>
  <si>
    <t>C045</t>
  </si>
  <si>
    <t>O0035</t>
  </si>
  <si>
    <t>C021</t>
  </si>
  <si>
    <t>O0036</t>
  </si>
  <si>
    <t>O0037</t>
  </si>
  <si>
    <t>O0038</t>
  </si>
  <si>
    <t>C096</t>
  </si>
  <si>
    <t>O0039</t>
  </si>
  <si>
    <t>O0040</t>
  </si>
  <si>
    <t>C082</t>
  </si>
  <si>
    <t>O0041</t>
  </si>
  <si>
    <t>O0042</t>
  </si>
  <si>
    <t>C001</t>
  </si>
  <si>
    <t>O0043</t>
  </si>
  <si>
    <t>O0044</t>
  </si>
  <si>
    <t>O0045</t>
  </si>
  <si>
    <t>C005</t>
  </si>
  <si>
    <t>O0046</t>
  </si>
  <si>
    <t>O0047</t>
  </si>
  <si>
    <t>C046</t>
  </si>
  <si>
    <t>O0048</t>
  </si>
  <si>
    <t>C100</t>
  </si>
  <si>
    <t>O0049</t>
  </si>
  <si>
    <t>O0050</t>
  </si>
  <si>
    <t>O0051</t>
  </si>
  <si>
    <t>O0052</t>
  </si>
  <si>
    <t>C029</t>
  </si>
  <si>
    <t>O0053</t>
  </si>
  <si>
    <t>C030</t>
  </si>
  <si>
    <t>O0054</t>
  </si>
  <si>
    <t>O0055</t>
  </si>
  <si>
    <t>C083</t>
  </si>
  <si>
    <t>O0056</t>
  </si>
  <si>
    <t>C015</t>
  </si>
  <si>
    <t>O0057</t>
  </si>
  <si>
    <t>O0058</t>
  </si>
  <si>
    <t>C056</t>
  </si>
  <si>
    <t>O0059</t>
  </si>
  <si>
    <t>O0060</t>
  </si>
  <si>
    <t>O0061</t>
  </si>
  <si>
    <t>O0062</t>
  </si>
  <si>
    <t>C016</t>
  </si>
  <si>
    <t>O0063</t>
  </si>
  <si>
    <t>C053</t>
  </si>
  <si>
    <t>O0064</t>
  </si>
  <si>
    <t>O0065</t>
  </si>
  <si>
    <t>O0066</t>
  </si>
  <si>
    <t>C071</t>
  </si>
  <si>
    <t>O0067</t>
  </si>
  <si>
    <t>O0068</t>
  </si>
  <si>
    <t>C057</t>
  </si>
  <si>
    <t>O0069</t>
  </si>
  <si>
    <t>C085</t>
  </si>
  <si>
    <t>O0070</t>
  </si>
  <si>
    <t>O0071</t>
  </si>
  <si>
    <t>C019</t>
  </si>
  <si>
    <t>O0072</t>
  </si>
  <si>
    <t>C079</t>
  </si>
  <si>
    <t>O0073</t>
  </si>
  <si>
    <t>O0074</t>
  </si>
  <si>
    <t>O0075</t>
  </si>
  <si>
    <t>O0076</t>
  </si>
  <si>
    <t>C072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</si>
  <si>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</si>
  <si>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</si>
  <si>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</si>
  <si>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</si>
  <si>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</si>
  <si>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</si>
  <si>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</si>
  <si>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</si>
  <si>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C089</t>
  </si>
  <si>
    <t>O0085</t>
  </si>
  <si>
    <t>O0086</t>
  </si>
  <si>
    <t>C008</t>
  </si>
  <si>
    <t>O0087</t>
  </si>
  <si>
    <t>C090</t>
  </si>
  <si>
    <t>O0088</t>
  </si>
  <si>
    <t>O0089</t>
  </si>
  <si>
    <t>O0090</t>
  </si>
  <si>
    <t>O0091</t>
  </si>
  <si>
    <t>C050</t>
  </si>
  <si>
    <t>O0092</t>
  </si>
  <si>
    <t>O0093</t>
  </si>
  <si>
    <t>O0094</t>
  </si>
  <si>
    <t>O0095</t>
  </si>
  <si>
    <t>C034</t>
  </si>
  <si>
    <t>O0096</t>
  </si>
  <si>
    <t>C042</t>
  </si>
  <si>
    <t>O0097</t>
  </si>
  <si>
    <t>C033</t>
  </si>
  <si>
    <t>O0098</t>
  </si>
  <si>
    <t>O0099</t>
  </si>
  <si>
    <t>C006</t>
  </si>
  <si>
    <t>O0100</t>
  </si>
  <si>
    <t>C080</t>
  </si>
  <si>
    <t>O0101</t>
  </si>
  <si>
    <t>O0102</t>
  </si>
  <si>
    <t>O0103</t>
  </si>
  <si>
    <t>O0104</t>
  </si>
  <si>
    <t>C075</t>
  </si>
  <si>
    <t>O0105</t>
  </si>
  <si>
    <t>C092</t>
  </si>
  <si>
    <t>O0106</t>
  </si>
  <si>
    <t>O0107</t>
  </si>
  <si>
    <t>O0108</t>
  </si>
  <si>
    <t>C048</t>
  </si>
  <si>
    <t>O0109</t>
  </si>
  <si>
    <t>C054</t>
  </si>
  <si>
    <t>O0110</t>
  </si>
  <si>
    <t>O0111</t>
  </si>
  <si>
    <t>C094</t>
  </si>
  <si>
    <t>O0112</t>
  </si>
  <si>
    <t>O0113</t>
  </si>
  <si>
    <t>C012</t>
  </si>
  <si>
    <t>O0114</t>
  </si>
  <si>
    <t>C073</t>
  </si>
  <si>
    <t>O0115</t>
  </si>
  <si>
    <t>C064</t>
  </si>
  <si>
    <t>O0116</t>
  </si>
  <si>
    <t>O0117</t>
  </si>
  <si>
    <t>O0118</t>
  </si>
  <si>
    <t>O0119</t>
  </si>
  <si>
    <t>O0120</t>
  </si>
  <si>
    <t>C003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</si>
  <si>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</si>
  <si>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</si>
  <si>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</si>
  <si>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</si>
  <si>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</si>
  <si>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</si>
  <si>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</si>
  <si>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</si>
  <si>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C039</t>
  </si>
  <si>
    <t>O0129</t>
  </si>
  <si>
    <t>O0130</t>
  </si>
  <si>
    <t>O0131</t>
  </si>
  <si>
    <t>O0132</t>
  </si>
  <si>
    <t>C024</t>
  </si>
  <si>
    <t>O0133</t>
  </si>
  <si>
    <t>O0134</t>
  </si>
  <si>
    <t>C081</t>
  </si>
  <si>
    <t>O0135</t>
  </si>
  <si>
    <t>O0136</t>
  </si>
  <si>
    <t>C098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</si>
  <si>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</si>
  <si>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</si>
  <si>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</si>
  <si>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</si>
  <si>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</si>
  <si>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</si>
  <si>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</si>
  <si>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</si>
  <si>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C088</t>
  </si>
  <si>
    <t>O0145</t>
  </si>
  <si>
    <t>O0146</t>
  </si>
  <si>
    <t>O0147</t>
  </si>
  <si>
    <t>C077</t>
  </si>
  <si>
    <t>O0148</t>
  </si>
  <si>
    <t>O0149</t>
  </si>
  <si>
    <t>C070</t>
  </si>
  <si>
    <t>O0150</t>
  </si>
  <si>
    <t>O0151</t>
  </si>
  <si>
    <t>O0152</t>
  </si>
  <si>
    <t>C035</t>
  </si>
  <si>
    <t>O0153</t>
  </si>
  <si>
    <t>C067</t>
  </si>
  <si>
    <t>O0154</t>
  </si>
  <si>
    <t>O0155</t>
  </si>
  <si>
    <t>O0156</t>
  </si>
  <si>
    <t>O0157</t>
  </si>
  <si>
    <t>O0158</t>
  </si>
  <si>
    <t>C041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</si>
  <si>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</si>
  <si>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</si>
  <si>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</si>
  <si>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</si>
  <si>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</si>
  <si>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</si>
  <si>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</si>
  <si>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</si>
  <si>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</si>
  <si>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</si>
  <si>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</si>
  <si>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</si>
  <si>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C036</t>
  </si>
  <si>
    <t>O0171</t>
  </si>
  <si>
    <t>O0172</t>
  </si>
  <si>
    <t>O0173</t>
  </si>
  <si>
    <t>O0174</t>
  </si>
  <si>
    <t>O0175</t>
  </si>
  <si>
    <t>O0176</t>
  </si>
  <si>
    <t>C091</t>
  </si>
  <si>
    <t>O0177</t>
  </si>
  <si>
    <t>O0178</t>
  </si>
  <si>
    <t>O0179</t>
  </si>
  <si>
    <t>C093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</si>
  <si>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</si>
  <si>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</si>
  <si>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</si>
  <si>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</si>
  <si>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</si>
  <si>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</si>
  <si>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</si>
  <si>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</si>
  <si>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</si>
  <si>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</si>
  <si>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</si>
  <si>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</si>
  <si>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</si>
  <si>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</si>
  <si>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</si>
  <si>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</si>
  <si>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</si>
  <si>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</si>
  <si>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</si>
  <si>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</si>
  <si>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</si>
  <si>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</si>
  <si>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</si>
  <si>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</si>
  <si>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</si>
  <si>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C026</t>
  </si>
  <si>
    <t>O0205</t>
  </si>
  <si>
    <t>C065</t>
  </si>
  <si>
    <t>O0206</t>
  </si>
  <si>
    <t>C038</t>
  </si>
  <si>
    <t>O0207</t>
  </si>
  <si>
    <t>O0208</t>
  </si>
  <si>
    <t>C051</t>
  </si>
  <si>
    <t>O0209</t>
  </si>
  <si>
    <t>O0210</t>
  </si>
  <si>
    <t>O0211</t>
  </si>
  <si>
    <t>O0212</t>
  </si>
  <si>
    <t>O0213</t>
  </si>
  <si>
    <t>C018</t>
  </si>
  <si>
    <t>O0214</t>
  </si>
  <si>
    <t>O0215</t>
  </si>
  <si>
    <t>C059</t>
  </si>
  <si>
    <t>O0216</t>
  </si>
  <si>
    <t>O0217</t>
  </si>
  <si>
    <t>O0218</t>
  </si>
  <si>
    <t>O0219</t>
  </si>
  <si>
    <t>C047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</si>
  <si>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</si>
  <si>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</si>
  <si>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</si>
  <si>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</si>
  <si>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</si>
  <si>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</si>
  <si>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</si>
  <si>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</si>
  <si>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</si>
  <si>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</si>
  <si>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</si>
  <si>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</si>
  <si>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</si>
  <si>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</si>
  <si>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</si>
  <si>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</si>
  <si>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</si>
  <si>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</si>
  <si>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</si>
  <si>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</si>
  <si>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</si>
  <si>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</si>
  <si>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</si>
  <si>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</si>
  <si>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</si>
  <si>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</si>
  <si>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</si>
  <si>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</si>
  <si>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</si>
  <si>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</si>
  <si>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</si>
  <si>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</si>
  <si>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</si>
  <si>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</si>
  <si>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</si>
  <si>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</si>
  <si>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</si>
  <si>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C040</t>
  </si>
  <si>
    <t>O0257</t>
  </si>
  <si>
    <t>C020</t>
  </si>
  <si>
    <t>O0258</t>
  </si>
  <si>
    <t>O0259</t>
  </si>
  <si>
    <t>O0260</t>
  </si>
  <si>
    <t>O0261</t>
  </si>
  <si>
    <t>O0262</t>
  </si>
  <si>
    <t>O0263</t>
  </si>
  <si>
    <t>O0264</t>
  </si>
  <si>
    <t>C028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</si>
  <si>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</si>
  <si>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</si>
  <si>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</si>
  <si>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</si>
  <si>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</si>
  <si>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</si>
  <si>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</si>
  <si>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</si>
  <si>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</si>
  <si>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</si>
  <si>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</si>
  <si>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</si>
  <si>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</si>
  <si>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</si>
  <si>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</si>
  <si>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</si>
  <si>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</si>
  <si>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</si>
  <si>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</si>
  <si>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</si>
  <si>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</si>
  <si>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</si>
  <si>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</si>
  <si>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</si>
  <si>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</si>
  <si>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</si>
  <si>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</si>
  <si>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C087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</si>
  <si>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</si>
  <si>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</si>
  <si>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</si>
  <si>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</si>
  <si>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</si>
  <si>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</si>
  <si>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</si>
  <si>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</si>
  <si>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</si>
  <si>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</si>
  <si>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</si>
  <si>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C044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</si>
  <si>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</si>
  <si>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</si>
  <si>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</si>
  <si>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</si>
  <si>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</si>
  <si>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</si>
  <si>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</si>
  <si>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</si>
  <si>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</si>
  <si>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</si>
  <si>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</si>
  <si>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</si>
  <si>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</si>
  <si>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</si>
  <si>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</si>
  <si>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</si>
  <si>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</si>
  <si>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</si>
  <si>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</si>
  <si>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</si>
  <si>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</si>
  <si>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</si>
  <si>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</si>
  <si>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</si>
  <si>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</si>
  <si>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</si>
  <si>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</si>
  <si>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</si>
  <si>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</si>
  <si>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</si>
  <si>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C023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</si>
  <si>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</si>
  <si>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</si>
  <si>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</si>
  <si>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</si>
  <si>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</si>
  <si>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</si>
  <si>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</si>
  <si>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</si>
  <si>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</si>
  <si>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</si>
  <si>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</si>
  <si>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</si>
  <si>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</si>
  <si>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</si>
  <si>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</si>
  <si>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</si>
  <si>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</si>
  <si>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</si>
  <si>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</si>
  <si>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</si>
  <si>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</si>
  <si>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</si>
  <si>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</si>
  <si>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</si>
  <si>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</si>
  <si>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</si>
  <si>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</si>
  <si>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</si>
  <si>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</si>
  <si>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</si>
  <si>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</si>
  <si>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</si>
  <si>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</si>
  <si>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</si>
  <si>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</si>
  <si>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</si>
  <si>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</si>
  <si>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</si>
  <si>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</si>
  <si>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</si>
  <si>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</si>
  <si>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</si>
  <si>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</si>
  <si>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C099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</si>
  <si>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</si>
  <si>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</si>
  <si>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</si>
  <si>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</si>
  <si>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</si>
  <si>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</si>
  <si>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</si>
  <si>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</si>
  <si>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</si>
  <si>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</si>
  <si>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</si>
  <si>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</si>
  <si>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</si>
  <si>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</si>
  <si>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</si>
  <si>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</si>
  <si>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</si>
  <si>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</si>
  <si>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</si>
  <si>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</si>
  <si>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</si>
  <si>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</si>
  <si>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</si>
  <si>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</si>
  <si>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</si>
  <si>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</si>
  <si>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</si>
  <si>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</si>
  <si>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</si>
  <si>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</si>
  <si>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</si>
  <si>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</si>
  <si>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</si>
  <si>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</si>
  <si>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</si>
  <si>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</si>
  <si>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</si>
  <si>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</si>
  <si>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</si>
  <si>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</si>
  <si>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</si>
  <si>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</si>
  <si>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</si>
  <si>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</si>
  <si>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</si>
  <si>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</si>
  <si>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</si>
  <si>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</si>
  <si>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</si>
  <si>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</si>
  <si>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</si>
  <si>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</si>
  <si>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</si>
  <si>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</si>
  <si>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</si>
  <si>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</si>
  <si>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</si>
  <si>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</si>
  <si>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</si>
  <si>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</si>
  <si>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</si>
  <si>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</si>
  <si>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</si>
  <si>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</si>
  <si>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</si>
  <si>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</si>
  <si>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</si>
  <si>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</si>
  <si>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</si>
  <si>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</si>
  <si>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</si>
  <si>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</si>
  <si>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</si>
  <si>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</si>
  <si>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</si>
  <si>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</si>
  <si>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</si>
  <si>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</si>
  <si>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</si>
  <si>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</si>
  <si>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</si>
  <si>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</si>
  <si>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</si>
  <si>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</si>
  <si>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</si>
  <si>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</si>
  <si>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</si>
  <si>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</si>
  <si>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</si>
  <si>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</si>
  <si>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</si>
  <si>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</si>
  <si>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</si>
  <si>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</si>
  <si>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</si>
  <si>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</si>
  <si>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</si>
  <si>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</si>
  <si>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</si>
  <si>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</si>
  <si>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</si>
  <si>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</si>
  <si>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</si>
  <si>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</si>
  <si>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</si>
  <si>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</si>
  <si>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</si>
  <si>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</si>
  <si>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</si>
  <si>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</si>
  <si>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</si>
  <si>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</si>
  <si>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</si>
  <si>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</si>
  <si>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</si>
  <si>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</si>
  <si>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</si>
  <si>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</si>
  <si>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</si>
  <si>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</si>
  <si>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</si>
  <si>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</si>
  <si>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C063</t>
  </si>
  <si>
    <t>O0498</t>
  </si>
  <si>
    <t>O0499</t>
  </si>
  <si>
    <t>O0500</t>
  </si>
  <si>
    <t>Product_Name</t>
  </si>
  <si>
    <t>Category</t>
  </si>
  <si>
    <t>Unit_Price</t>
  </si>
  <si>
    <t>Unit_Cost</t>
  </si>
  <si>
    <t>Laptop Stand</t>
  </si>
  <si>
    <t>Office</t>
  </si>
  <si>
    <t>Wireless Mouse</t>
  </si>
  <si>
    <t>Electronics</t>
  </si>
  <si>
    <t>Keyboard</t>
  </si>
  <si>
    <t>Desk Lamp</t>
  </si>
  <si>
    <t>Water Bottle</t>
  </si>
  <si>
    <t>Lifestyle</t>
  </si>
  <si>
    <t>Backpack</t>
  </si>
  <si>
    <t>Headphones</t>
  </si>
  <si>
    <t>Notebook Pack</t>
  </si>
  <si>
    <t>Stationery</t>
  </si>
  <si>
    <t>Office Chair</t>
  </si>
  <si>
    <t>USB-C Hub</t>
  </si>
  <si>
    <t>Customer_Name</t>
  </si>
  <si>
    <t>Region</t>
  </si>
  <si>
    <t>Customer_Segment</t>
  </si>
  <si>
    <t>Customer 001</t>
  </si>
  <si>
    <t>Sheffield</t>
  </si>
  <si>
    <t>Consumer</t>
  </si>
  <si>
    <t>Customer 002</t>
  </si>
  <si>
    <t>London</t>
  </si>
  <si>
    <t>Corporate</t>
  </si>
  <si>
    <t>Customer 003</t>
  </si>
  <si>
    <t>Birmingham</t>
  </si>
  <si>
    <t>C004</t>
  </si>
  <si>
    <t>Customer 004</t>
  </si>
  <si>
    <t>Manchester</t>
  </si>
  <si>
    <t>Customer 005</t>
  </si>
  <si>
    <t>Customer 006</t>
  </si>
  <si>
    <t>Customer 007</t>
  </si>
  <si>
    <t>Bristol</t>
  </si>
  <si>
    <t>Customer 008</t>
  </si>
  <si>
    <t>Small Business</t>
  </si>
  <si>
    <t>Customer 009</t>
  </si>
  <si>
    <t>Customer 010</t>
  </si>
  <si>
    <t>Customer 011</t>
  </si>
  <si>
    <t>Customer 012</t>
  </si>
  <si>
    <t>Customer 013</t>
  </si>
  <si>
    <t>Customer 014</t>
  </si>
  <si>
    <t>Customer 015</t>
  </si>
  <si>
    <t>Customer 016</t>
  </si>
  <si>
    <t>Leeds</t>
  </si>
  <si>
    <t>Customer 017</t>
  </si>
  <si>
    <t>Customer 018</t>
  </si>
  <si>
    <t>Customer 019</t>
  </si>
  <si>
    <t>Customer 020</t>
  </si>
  <si>
    <t>Customer 021</t>
  </si>
  <si>
    <t>C022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</si>
  <si>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</si>
  <si>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</si>
  <si>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</si>
  <si>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</si>
  <si>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</si>
  <si>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</si>
  <si>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</si>
  <si>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</si>
  <si>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</si>
  <si>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</si>
  <si>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</si>
  <si>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</si>
  <si>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</si>
  <si>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</si>
  <si>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</si>
  <si>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</si>
  <si>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</si>
  <si>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</si>
  <si>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</si>
  <si>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</si>
  <si>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</si>
  <si>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</si>
  <si>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</si>
  <si>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</si>
  <si>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</si>
  <si>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</si>
  <si>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</si>
  <si>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</si>
  <si>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</si>
  <si>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</si>
  <si>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</si>
  <si>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</si>
  <si>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</si>
  <si>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</si>
  <si>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</si>
  <si>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</si>
  <si>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</si>
  <si>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</si>
  <si>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</si>
  <si>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Customer 061</t>
  </si>
  <si>
    <t>Customer 062</t>
  </si>
  <si>
    <t>Customer 063</t>
  </si>
  <si>
    <t>Customer 064</t>
  </si>
  <si>
    <t>Customer 065</t>
  </si>
  <si>
    <t>Customer 066</t>
  </si>
  <si>
    <t>Customer 067</t>
  </si>
  <si>
    <t>C068</t>
  </si>
  <si>
    <t>Customer 068</t>
  </si>
  <si>
    <t>Customer 069</t>
  </si>
  <si>
    <t>Customer 070</t>
  </si>
  <si>
    <t>Customer 071</t>
  </si>
  <si>
    <t>Customer 072</t>
  </si>
  <si>
    <t>Customer 073</t>
  </si>
  <si>
    <t>Customer 074</t>
  </si>
  <si>
    <t>Customer 075</t>
  </si>
  <si>
    <t>Customer 076</t>
  </si>
  <si>
    <t>Customer 077</t>
  </si>
  <si>
    <t>Customer 078</t>
  </si>
  <si>
    <t>Customer 079</t>
  </si>
  <si>
    <t>Customer 080</t>
  </si>
  <si>
    <t>Customer 081</t>
  </si>
  <si>
    <t>Customer 082</t>
  </si>
  <si>
    <t>Customer 083</t>
  </si>
  <si>
    <t>Customer 084</t>
  </si>
  <si>
    <t>Customer 085</t>
  </si>
  <si>
    <t>Customer 086</t>
  </si>
  <si>
    <t>Customer 087</t>
  </si>
  <si>
    <t>Customer 088</t>
  </si>
  <si>
    <t>Customer 089</t>
  </si>
  <si>
    <t>Customer 090</t>
  </si>
  <si>
    <t>Customer 091</t>
  </si>
  <si>
    <t>Customer 092</t>
  </si>
  <si>
    <t>Customer 093</t>
  </si>
  <si>
    <t>Customer 094</t>
  </si>
  <si>
    <t>Customer 095</t>
  </si>
  <si>
    <t>Customer 096</t>
  </si>
  <si>
    <t>Customer 097</t>
  </si>
  <si>
    <t>Customer 098</t>
  </si>
  <si>
    <t>Customer 099</t>
  </si>
  <si>
    <t>Customer 100</t>
  </si>
  <si>
    <t>Item</t>
  </si>
  <si>
    <t>Details</t>
  </si>
  <si>
    <t>Project</t>
  </si>
  <si>
    <t>Retail Sales &amp; Business Performance Analysis | Excel</t>
  </si>
  <si>
    <t>Dataset</t>
  </si>
  <si>
    <t>500 retail transactions, 100 customers and 10 products covering 2025.</t>
  </si>
  <si>
    <t>Goal</t>
  </si>
  <si>
    <t>Use Excel to clean, enrich, analyse and visualise retail sales performance.</t>
  </si>
  <si>
    <t>Next</t>
  </si>
  <si>
    <t>Use XLOOKUP to enrich Raw_Sales with product and customer information.</t>
  </si>
  <si>
    <t>Then</t>
  </si>
  <si>
    <t>Calculate Revenue and Cost, build Pivot Tables, KPIs, charts and a dashboard.</t>
  </si>
  <si>
    <t>Revenue</t>
  </si>
  <si>
    <t>Cost</t>
  </si>
  <si>
    <t>Profit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</si>
  <si>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</si>
  <si>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</si>
  <si>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</si>
  <si>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</si>
  <si>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</si>
  <si>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</si>
  <si>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</si>
  <si>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</si>
  <si>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</si>
  <si>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</si>
  <si>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</si>
  <si>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</si>
  <si>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</si>
  <si>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</si>
  <si>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</si>
  <si>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Sales, Profit &amp; Customer Performance Analysis | 2025</t>
  </si>
  <si>
    <t>E-Commerce Retail Sales Dashboard</t>
  </si>
  <si>
    <t>Total Revenue</t>
  </si>
  <si>
    <t>Total Profit</t>
  </si>
  <si>
    <t>Profit Margin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</si>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</sst>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65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14"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65" formatCode="_-[$£-809]* #,##0.00_-;\-[$£-809]* #,##0.00_-;_-[$£-809]* &quot;-&quot;??_-;_-@_-"/>
    </dxf>
    <dxf>
      <numFmt numFmtId="13" formatCode="0%"/>
    </dxf>
    <dxf>
      <numFmt numFmtId="13" formatCode="0%"/>
    </dxf>
    <dxf>
      <numFmt numFmtId="13" formatCode="0%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[Excel_Retail_Sales_Project_Starter.xlsx]Pivot_Category!Pivot_Category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Pivot_Category!$A$4:$A$8</c:f>
              <c:strCache>
                <c:ptCount val="4"/>
                <c:pt idx="0">
                  <c:v>Electronics</c:v>
                </c:pt>
                <c:pt idx="1">
                  <c:v>Lifestyle</c:v>
                </c:pt>
                <c:pt idx="2">
                  <c:v>Office</c:v>
                </c:pt>
                <c:pt idx="3">
                  <c:v>Stationery</c:v>
                </c:pt>
              </c:strCache>
            </c:strRef>
          </c:cat>
          <c:val>
            <c:numRef>
              <c:f>Pivot_Category!$B$4:$B$8</c:f>
              <c:numCache>
                <c:formatCode>_-[$£-809]* #,##0.00_-;\-[$£-809]* #,##0.00_-;_-[$£-809]* "-"??_-;_-@_-</c:formatCode>
                <c:ptCount val="4"/>
                <c:pt idx="0">
                  <c:v>27001.25</c:v>
                </c:pt>
                <c:pt idx="1">
                  <c:v>10176.349999999997</c:v>
                </c:pt>
                <c:pt idx="2">
                  <c:v>32670</c:v>
                </c:pt>
                <c:pt idx="3">
                  <c:v>1767.6000000000001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4-4919-8B5E-8C1D1D8CD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8983264"/>
        <c:axId val="1640165264"/>
      </c:barChart>
      <c:catAx>
        <c:axId val="186898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65264"/>
        <c:crosses val="autoZero"/>
        <c:auto val="1"/>
        <c:lblAlgn val="ctr"/>
        <c:lblOffset val="100"/>
        <c:noMultiLvlLbl val="0"/>
      </c:catAx>
      <c:valAx>
        <c:axId val="16401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98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[Excel_Retail_Sales_Project_Starter.xlsx]Pivot_Region!PivotTable2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Pivot_Region!$A$4:$A$10</c:f>
              <c:strCache>
                <c:ptCount val="6"/>
                <c:pt idx="0">
                  <c:v>Birmingham</c:v>
                </c:pt>
                <c:pt idx="1">
                  <c:v>Bristol</c:v>
                </c:pt>
                <c:pt idx="2">
                  <c:v>Leeds</c:v>
                </c:pt>
                <c:pt idx="3">
                  <c:v>London</c:v>
                </c:pt>
                <c:pt idx="4">
                  <c:v>Manchester</c:v>
                </c:pt>
                <c:pt idx="5">
                  <c:v>Sheffield</c:v>
                </c:pt>
              </c:strCache>
            </c:strRef>
          </c:cat>
          <c:val>
            <c:numRef>
              <c:f>Pivot_Region!$B$4:$B$10</c:f>
              <c:numCache>
                <c:formatCode>_-[$£-809]* #,##0.00_-;\-[$£-809]* #,##0.00_-;_-[$£-809]* "-"??_-;_-@_-</c:formatCode>
                <c:ptCount val="6"/>
                <c:pt idx="0">
                  <c:v>15167.300000000001</c:v>
                </c:pt>
                <c:pt idx="1">
                  <c:v>11287.550000000001</c:v>
                </c:pt>
                <c:pt idx="2">
                  <c:v>12805.499999999998</c:v>
                </c:pt>
                <c:pt idx="3">
                  <c:v>10774.900000000001</c:v>
                </c:pt>
                <c:pt idx="4">
                  <c:v>9160.35</c:v>
                </c:pt>
                <c:pt idx="5">
                  <c:v>12419.599999999999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A-4AC5-9575-9713F17D8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594880"/>
        <c:axId val="1640176304"/>
      </c:barChart>
      <c:catAx>
        <c:axId val="18695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76304"/>
        <c:crosses val="autoZero"/>
        <c:auto val="1"/>
        <c:lblAlgn val="ctr"/>
        <c:lblOffset val="100"/>
        <c:noMultiLvlLbl val="0"/>
      </c:catAx>
      <c:valAx>
        <c:axId val="16401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59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[Excel_Retail_Sales_Project_Starter.xlsx]Pivot_Segment!PivotTable3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Customer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Pivot_Segment!$B$3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Pivot_Segment!$A$4:$A$7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Small Business</c:v>
                </c:pt>
              </c:strCache>
            </c:strRef>
          </c:cat>
          <c:val>
            <c:numRef>
              <c:f>Pivot_Segment!$B$4:$B$7</c:f>
              <c:numCache>
                <c:formatCode>_-[$£-809]* #,##0.00_-;\-[$£-809]* #,##0.00_-;_-[$£-809]* "-"??_-;_-@_-</c:formatCode>
                <c:ptCount val="3"/>
                <c:pt idx="0">
                  <c:v>26642.649999999998</c:v>
                </c:pt>
                <c:pt idx="1">
                  <c:v>28867.800000000007</c:v>
                </c:pt>
                <c:pt idx="2">
                  <c:v>16104.750000000002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7-41A9-823A-0B00D97A8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194800"/>
        <c:axId val="1640214224"/>
      </c:barChart>
      <c:catAx>
        <c:axId val="187319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214224"/>
        <c:crosses val="autoZero"/>
        <c:auto val="1"/>
        <c:lblAlgn val="ctr"/>
        <c:lblOffset val="100"/>
        <c:noMultiLvlLbl val="0"/>
      </c:catAx>
      <c:valAx>
        <c:axId val="16402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19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[Excel_Retail_Sales_Project_Starter.xlsx]Pivot_Monthly!PivotTable4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Pivot_Monthly!$A$4:$A$16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Pivot_Monthly!$B$4:$B$16</c:f>
              <c:numCache>
                <c:formatCode>_-[$£-809]* #,##0.00_-;\-[$£-809]* #,##0.00_-;_-[$£-809]* "-"??_-;_-@_-</c:formatCode>
                <c:ptCount val="12"/>
                <c:pt idx="0">
                  <c:v>7549.7</c:v>
                </c:pt>
                <c:pt idx="1">
                  <c:v>6510.3499999999995</c:v>
                </c:pt>
                <c:pt idx="2">
                  <c:v>8453.0499999999993</c:v>
                </c:pt>
                <c:pt idx="3">
                  <c:v>3278.1</c:v>
                </c:pt>
                <c:pt idx="4">
                  <c:v>4653.7</c:v>
                </c:pt>
                <c:pt idx="5">
                  <c:v>6335.4</c:v>
                </c:pt>
                <c:pt idx="6">
                  <c:v>6533.0999999999995</c:v>
                </c:pt>
                <c:pt idx="7">
                  <c:v>7620.1</c:v>
                </c:pt>
                <c:pt idx="8">
                  <c:v>5106.5499999999993</c:v>
                </c:pt>
                <c:pt idx="9">
                  <c:v>6803.7499999999991</c:v>
                </c:pt>
                <c:pt idx="10">
                  <c:v>3698.1499999999996</c:v>
                </c:pt>
                <c:pt idx="11">
                  <c:v>5073.25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7-4859-9B46-C9A6C5442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741616"/>
        <c:axId val="1640153744"/>
      </c:lineChart>
      <c:catAx>
        <c:axId val="187274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153744"/>
        <c:crosses val="autoZero"/>
        <c:auto val="1"/>
        <c:lblAlgn val="ctr"/>
        <c:lblOffset val="100"/>
        <c:noMultiLvlLbl val="0"/>
      </c:catAx>
      <c:valAx>
        <c:axId val="16401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74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579120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C077A-2BA1-46FF-B893-5C2A46D14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</xdr:colOff>
      <xdr:row>7</xdr:row>
      <xdr:rowOff>15240</xdr:rowOff>
    </xdr:from>
    <xdr:to>
      <xdr:col>14</xdr:col>
      <xdr:colOff>308610</xdr:colOff>
      <xdr:row>22</xdr:row>
      <xdr:rowOff>15240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30F10D5-548C-317F-DDCB-3119FA858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316230</xdr:colOff>
      <xdr:row>7</xdr:row>
      <xdr:rowOff>15240</xdr:rowOff>
    </xdr:from>
    <xdr:to>
      <xdr:col>22</xdr:col>
      <xdr:colOff>11430</xdr:colOff>
      <xdr:row>22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9808819-4783-3DB0-8EF7-1FC431CD7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160020</xdr:rowOff>
    </xdr:from>
    <xdr:to>
      <xdr:col>6</xdr:col>
      <xdr:colOff>579120</xdr:colOff>
      <xdr:row>36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E9150F-063A-4BCB-B529-9E9F8DBEF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Sondarva" refreshedDate="46289.619911111113" createdVersion="8" refreshedVersion="8" minRefreshableVersion="3" recordCount="500" xr:uid="{671BF0A6-8D8F-42FA-B408-8C02D40CB144}">
  <cacheSource type="worksheet">
    <worksheetSource name="Sales­_Data"/>
  </cacheSource>
  <cacheFields count="17">
    <cacheField name="Order_ID" numFmtId="0">
      <sharedItems/>
    </cacheField>
    <cacheField name="Order_Date" numFmtId="14">
      <sharedItems containsSemiMixedTypes="0" containsNonDate="0" containsDate="1" containsString="0" minDate="2025-01-02T00:00:00" maxDate="2026-01-01T00:00:00" count="273">
        <d v="2025-01-30T00:00:00"/>
        <d v="2025-09-06T00:00:00"/>
        <d v="2025-12-04T00:00:00"/>
        <d v="2025-09-28T00:00:00"/>
        <d v="2025-06-09T00:00:00"/>
        <d v="2025-03-03T00:00:00"/>
        <d v="2025-01-11T00:00:00"/>
        <d v="2025-01-04T00:00:00"/>
        <d v="2025-01-17T00:00:00"/>
        <d v="2025-05-23T00:00:00"/>
        <d v="2025-10-20T00:00:00"/>
        <d v="2025-07-28T00:00:00"/>
        <d v="2025-07-01T00:00:00"/>
        <d v="2025-12-11T00:00:00"/>
        <d v="2025-06-23T00:00:00"/>
        <d v="2025-10-02T00:00:00"/>
        <d v="2025-10-09T00:00:00"/>
        <d v="2025-02-17T00:00:00"/>
        <d v="2025-03-26T00:00:00"/>
        <d v="2025-08-21T00:00:00"/>
        <d v="2025-03-21T00:00:00"/>
        <d v="2025-10-24T00:00:00"/>
        <d v="2025-11-01T00:00:00"/>
        <d v="2025-10-19T00:00:00"/>
        <d v="2025-11-14T00:00:00"/>
        <d v="2025-05-14T00:00:00"/>
        <d v="2025-07-22T00:00:00"/>
        <d v="2025-02-07T00:00:00"/>
        <d v="2025-03-09T00:00:00"/>
        <d v="2025-05-26T00:00:00"/>
        <d v="2025-11-10T00:00:00"/>
        <d v="2025-12-06T00:00:00"/>
        <d v="2025-02-24T00:00:00"/>
        <d v="2025-05-25T00:00:00"/>
        <d v="2025-12-18T00:00:00"/>
        <d v="2025-05-09T00:00:00"/>
        <d v="2025-01-23T00:00:00"/>
        <d v="2025-03-24T00:00:00"/>
        <d v="2025-10-15T00:00:00"/>
        <d v="2025-10-07T00:00:00"/>
        <d v="2025-08-09T00:00:00"/>
        <d v="2025-01-21T00:00:00"/>
        <d v="2025-05-02T00:00:00"/>
        <d v="2025-04-02T00:00:00"/>
        <d v="2025-05-17T00:00:00"/>
        <d v="2025-08-29T00:00:00"/>
        <d v="2025-06-06T00:00:00"/>
        <d v="2025-07-24T00:00:00"/>
        <d v="2025-06-29T00:00:00"/>
        <d v="2025-01-15T00:00:00"/>
        <d v="2025-01-20T00:00:00"/>
        <d v="2025-06-10T00:00:00"/>
        <d v="2025-07-17T00:00:00"/>
        <d v="2025-12-29T00:00:00"/>
        <d v="2025-07-06T00:00:00"/>
        <d v="2025-12-08T00:00:00"/>
        <d v="2025-10-11T00:00:00"/>
        <d v="2025-12-13T00:00:00"/>
        <d v="2025-07-27T00:00:00"/>
        <d v="2025-04-18T00:00:00"/>
        <d v="2025-08-27T00:00:00"/>
        <d v="2025-03-28T00:00:00"/>
        <d v="2025-04-12T00:00:00"/>
        <d v="2025-09-01T00:00:00"/>
        <d v="2025-11-19T00:00:00"/>
        <d v="2025-08-06T00:00:00"/>
        <d v="2025-01-26T00:00:00"/>
        <d v="2025-03-10T00:00:00"/>
        <d v="2025-08-15T00:00:00"/>
        <d v="2025-03-23T00:00:00"/>
        <d v="2025-05-07T00:00:00"/>
        <d v="2025-11-17T00:00:00"/>
        <d v="2025-05-27T00:00:00"/>
        <d v="2025-10-04T00:00:00"/>
        <d v="2025-07-16T00:00:00"/>
        <d v="2025-08-01T00:00:00"/>
        <d v="2025-10-27T00:00:00"/>
        <d v="2025-09-02T00:00:00"/>
        <d v="2025-08-03T00:00:00"/>
        <d v="2025-09-07T00:00:00"/>
        <d v="2025-08-28T00:00:00"/>
        <d v="2025-07-21T00:00:00"/>
        <d v="2025-11-26T00:00:00"/>
        <d v="2025-08-04T00:00:00"/>
        <d v="2025-11-30T00:00:00"/>
        <d v="2025-08-31T00:00:00"/>
        <d v="2025-11-07T00:00:00"/>
        <d v="2025-02-25T00:00:00"/>
        <d v="2025-07-23T00:00:00"/>
        <d v="2025-02-22T00:00:00"/>
        <d v="2025-10-17T00:00:00"/>
        <d v="2025-12-05T00:00:00"/>
        <d v="2025-01-07T00:00:00"/>
        <d v="2025-07-05T00:00:00"/>
        <d v="2025-04-01T00:00:00"/>
        <d v="2025-05-06T00:00:00"/>
        <d v="2025-08-26T00:00:00"/>
        <d v="2025-04-19T00:00:00"/>
        <d v="2025-11-02T00:00:00"/>
        <d v="2025-09-22T00:00:00"/>
        <d v="2025-09-08T00:00:00"/>
        <d v="2025-08-18T00:00:00"/>
        <d v="2025-06-11T00:00:00"/>
        <d v="2025-04-21T00:00:00"/>
        <d v="2025-02-21T00:00:00"/>
        <d v="2025-05-21T00:00:00"/>
        <d v="2025-12-24T00:00:00"/>
        <d v="2025-10-21T00:00:00"/>
        <d v="2025-06-24T00:00:00"/>
        <d v="2025-02-28T00:00:00"/>
        <d v="2025-10-23T00:00:00"/>
        <d v="2025-10-16T00:00:00"/>
        <d v="2025-10-13T00:00:00"/>
        <d v="2025-09-25T00:00:00"/>
        <d v="2025-10-29T00:00:00"/>
        <d v="2025-11-09T00:00:00"/>
        <d v="2025-05-16T00:00:00"/>
        <d v="2025-03-30T00:00:00"/>
        <d v="2025-07-29T00:00:00"/>
        <d v="2025-02-06T00:00:00"/>
        <d v="2025-06-07T00:00:00"/>
        <d v="2025-03-05T00:00:00"/>
        <d v="2025-09-14T00:00:00"/>
        <d v="2025-11-03T00:00:00"/>
        <d v="2025-01-14T00:00:00"/>
        <d v="2025-06-28T00:00:00"/>
        <d v="2025-02-15T00:00:00"/>
        <d v="2025-07-26T00:00:00"/>
        <d v="2025-07-31T00:00:00"/>
        <d v="2025-11-15T00:00:00"/>
        <d v="2025-04-15T00:00:00"/>
        <d v="2025-08-13T00:00:00"/>
        <d v="2025-10-10T00:00:00"/>
        <d v="2025-04-26T00:00:00"/>
        <d v="2025-09-13T00:00:00"/>
        <d v="2025-02-05T00:00:00"/>
        <d v="2025-01-02T00:00:00"/>
        <d v="2025-03-18T00:00:00"/>
        <d v="2025-06-20T00:00:00"/>
        <d v="2025-06-14T00:00:00"/>
        <d v="2025-04-30T00:00:00"/>
        <d v="2025-09-11T00:00:00"/>
        <d v="2025-01-08T00:00:00"/>
        <d v="2025-02-08T00:00:00"/>
        <d v="2025-11-29T00:00:00"/>
        <d v="2025-06-12T00:00:00"/>
        <d v="2025-11-13T00:00:00"/>
        <d v="2025-02-16T00:00:00"/>
        <d v="2025-03-27T00:00:00"/>
        <d v="2025-06-16T00:00:00"/>
        <d v="2025-02-10T00:00:00"/>
        <d v="2025-09-12T00:00:00"/>
        <d v="2025-11-23T00:00:00"/>
        <d v="2025-12-20T00:00:00"/>
        <d v="2025-01-12T00:00:00"/>
        <d v="2025-04-23T00:00:00"/>
        <d v="2025-12-14T00:00:00"/>
        <d v="2025-06-08T00:00:00"/>
        <d v="2025-03-31T00:00:00"/>
        <d v="2025-09-29T00:00:00"/>
        <d v="2025-09-04T00:00:00"/>
        <d v="2025-01-13T00:00:00"/>
        <d v="2025-11-28T00:00:00"/>
        <d v="2025-03-01T00:00:00"/>
        <d v="2025-09-10T00:00:00"/>
        <d v="2025-07-18T00:00:00"/>
        <d v="2025-10-28T00:00:00"/>
        <d v="2025-05-01T00:00:00"/>
        <d v="2025-02-01T00:00:00"/>
        <d v="2025-05-22T00:00:00"/>
        <d v="2025-07-03T00:00:00"/>
        <d v="2025-09-27T00:00:00"/>
        <d v="2025-09-15T00:00:00"/>
        <d v="2025-08-23T00:00:00"/>
        <d v="2025-07-25T00:00:00"/>
        <d v="2025-02-03T00:00:00"/>
        <d v="2025-07-15T00:00:00"/>
        <d v="2025-09-16T00:00:00"/>
        <d v="2025-12-02T00:00:00"/>
        <d v="2025-08-20T00:00:00"/>
        <d v="2025-10-12T00:00:00"/>
        <d v="2025-12-10T00:00:00"/>
        <d v="2025-01-27T00:00:00"/>
        <d v="2025-02-23T00:00:00"/>
        <d v="2025-12-03T00:00:00"/>
        <d v="2025-08-08T00:00:00"/>
        <d v="2025-11-08T00:00:00"/>
        <d v="2025-05-20T00:00:00"/>
        <d v="2025-07-12T00:00:00"/>
        <d v="2025-07-09T00:00:00"/>
        <d v="2025-12-12T00:00:00"/>
        <d v="2025-06-04T00:00:00"/>
        <d v="2025-06-17T00:00:00"/>
        <d v="2025-01-22T00:00:00"/>
        <d v="2025-12-30T00:00:00"/>
        <d v="2025-05-05T00:00:00"/>
        <d v="2025-03-16T00:00:00"/>
        <d v="2025-11-18T00:00:00"/>
        <d v="2025-06-30T00:00:00"/>
        <d v="2025-02-09T00:00:00"/>
        <d v="2025-08-25T00:00:00"/>
        <d v="2025-06-25T00:00:00"/>
        <d v="2025-02-11T00:00:00"/>
        <d v="2025-09-18T00:00:00"/>
        <d v="2025-04-03T00:00:00"/>
        <d v="2025-03-20T00:00:00"/>
        <d v="2025-08-16T00:00:00"/>
        <d v="2025-10-01T00:00:00"/>
        <d v="2025-07-08T00:00:00"/>
        <d v="2025-12-31T00:00:00"/>
        <d v="2025-08-12T00:00:00"/>
        <d v="2025-03-12T00:00:00"/>
        <d v="2025-12-28T00:00:00"/>
        <d v="2025-10-08T00:00:00"/>
        <d v="2025-02-26T00:00:00"/>
        <d v="2025-03-04T00:00:00"/>
        <d v="2025-02-02T00:00:00"/>
        <d v="2025-11-20T00:00:00"/>
        <d v="2025-05-30T00:00:00"/>
        <d v="2025-05-04T00:00:00"/>
        <d v="2025-09-26T00:00:00"/>
        <d v="2025-07-19T00:00:00"/>
        <d v="2025-05-10T00:00:00"/>
        <d v="2025-06-26T00:00:00"/>
        <d v="2025-03-11T00:00:00"/>
        <d v="2025-04-14T00:00:00"/>
        <d v="2025-01-25T00:00:00"/>
        <d v="2025-09-23T00:00:00"/>
        <d v="2025-01-16T00:00:00"/>
        <d v="2025-03-06T00:00:00"/>
        <d v="2025-04-20T00:00:00"/>
        <d v="2025-11-25T00:00:00"/>
        <d v="2025-03-07T00:00:00"/>
        <d v="2025-03-08T00:00:00"/>
        <d v="2025-06-15T00:00:00"/>
        <d v="2025-03-29T00:00:00"/>
        <d v="2025-06-13T00:00:00"/>
        <d v="2025-08-19T00:00:00"/>
        <d v="2025-05-29T00:00:00"/>
        <d v="2025-01-24T00:00:00"/>
        <d v="2025-03-25T00:00:00"/>
        <d v="2025-09-17T00:00:00"/>
        <d v="2025-08-02T00:00:00"/>
        <d v="2025-03-17T00:00:00"/>
        <d v="2025-04-08T00:00:00"/>
        <d v="2025-03-19T00:00:00"/>
        <d v="2025-04-09T00:00:00"/>
        <d v="2025-05-28T00:00:00"/>
        <d v="2025-10-03T00:00:00"/>
        <d v="2025-06-02T00:00:00"/>
        <d v="2025-02-27T00:00:00"/>
        <d v="2025-04-06T00:00:00"/>
        <d v="2025-02-14T00:00:00"/>
        <d v="2025-12-01T00:00:00"/>
        <d v="2025-09-24T00:00:00"/>
        <d v="2025-10-14T00:00:00"/>
        <d v="2025-05-11T00:00:00"/>
        <d v="2025-12-16T00:00:00"/>
        <d v="2025-03-02T00:00:00"/>
        <d v="2025-04-25T00:00:00"/>
        <d v="2025-04-28T00:00:00"/>
        <d v="2025-11-11T00:00:00"/>
        <d v="2025-02-04T00:00:00"/>
        <d v="2025-01-29T00:00:00"/>
        <d v="2025-10-22T00:00:00"/>
        <d v="2025-12-23T00:00:00"/>
        <d v="2025-07-13T00:00:00"/>
        <d v="2025-09-03T00:00:00"/>
        <d v="2025-07-04T00:00:00"/>
        <d v="2025-06-01T00:00:00"/>
        <d v="2025-07-14T00:00:00"/>
        <d v="2025-05-12T00:00:00"/>
        <d v="2025-01-05T00:00:00"/>
      </sharedItems>
      <fieldGroup par="16"/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" numFmtId="9">
      <sharedItems containsSemiMixedTypes="0" containsString="0" containsNumber="1" minValue="0" maxValue="0.15"/>
    </cacheField>
    <cacheField name="Product_Name" numFmtId="9">
      <sharedItems/>
    </cacheField>
    <cacheField name="Category" numFmtId="9">
      <sharedItems count="4">
        <s v="Electronics"/>
        <s v="Office"/>
        <s v="Lifestyle"/>
        <s v="Stationery"/>
      </sharedItems>
    </cacheField>
    <cacheField name="Unit_Price" numFmtId="165">
      <sharedItems containsSemiMixedTypes="0" containsString="0" containsNumber="1" containsInteger="1" minValue="12" maxValue="180"/>
    </cacheField>
    <cacheField name="Customer_Name" numFmtId="165">
      <sharedItems/>
    </cacheField>
    <cacheField name="Region" numFmtId="165">
      <sharedItems count="6">
        <s v="Birmingham"/>
        <s v="London"/>
        <s v="Leeds"/>
        <s v="Bristol"/>
        <s v="Sheffield"/>
        <s v="Manchester"/>
      </sharedItems>
    </cacheField>
    <cacheField name="Customer_Segment" numFmtId="165">
      <sharedItems count="3">
        <s v="Corporate"/>
        <s v="Consumer"/>
        <s v="Small Business"/>
      </sharedItems>
    </cacheField>
    <cacheField name="Revenue" numFmtId="165">
      <sharedItems containsSemiMixedTypes="0" containsString="0" containsNumber="1" minValue="10.199999999999999" maxValue="900"/>
    </cacheField>
    <cacheField name="Cost" numFmtId="165">
      <sharedItems containsSemiMixedTypes="0" containsString="0" containsNumber="1" containsInteger="1" minValue="5" maxValue="525"/>
    </cacheField>
    <cacheField name="Profit" numFmtId="165">
      <sharedItems containsSemiMixedTypes="0" containsString="0" containsNumber="1" minValue="5.1999999999999993" maxValue="375"/>
    </cacheField>
    <cacheField name="Days (Order_Date)" numFmtId="0" databaseField="0">
      <fieldGroup base="1">
        <rangePr groupBy="days" startDate="2025-01-02T00:00:00" endDate="2026-01-01T00:00:00"/>
        <groupItems count="368">
          <s v="&lt;02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Months (Order_Date)" numFmtId="0" databaseField="0">
      <fieldGroup base="1">
        <rangePr groupBy="months" startDate="2025-01-02T00:00:00" endDate="2026-01-01T00:00:00"/>
        <groupItems count="14">
          <s v="&lt;02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0001"/>
    <x v="0"/>
    <s v="C031"/>
    <s v="P010"/>
    <n v="1"/>
    <n v="0"/>
    <s v="USB-C Hub"/>
    <x v="0"/>
    <n v="40"/>
    <s v="Customer 031"/>
    <x v="0"/>
    <x v="0"/>
    <n v="40"/>
    <n v="19"/>
    <n v="21"/>
  </r>
  <r>
    <s v="O0002"/>
    <x v="1"/>
    <s v="C009"/>
    <s v="P009"/>
    <n v="2"/>
    <n v="0.05"/>
    <s v="Office Chair"/>
    <x v="1"/>
    <n v="180"/>
    <s v="Customer 009"/>
    <x v="1"/>
    <x v="1"/>
    <n v="342"/>
    <n v="210"/>
    <n v="132"/>
  </r>
  <r>
    <s v="O0003"/>
    <x v="2"/>
    <s v="C061"/>
    <s v="P009"/>
    <n v="2"/>
    <n v="0.1"/>
    <s v="Office Chair"/>
    <x v="1"/>
    <n v="180"/>
    <s v="Customer 061"/>
    <x v="2"/>
    <x v="0"/>
    <n v="324"/>
    <n v="210"/>
    <n v="114"/>
  </r>
  <r>
    <s v="O0004"/>
    <x v="3"/>
    <s v="C078"/>
    <s v="P007"/>
    <n v="2"/>
    <n v="0.05"/>
    <s v="Headphones"/>
    <x v="0"/>
    <n v="75"/>
    <s v="Customer 078"/>
    <x v="2"/>
    <x v="0"/>
    <n v="142.5"/>
    <n v="80"/>
    <n v="62.5"/>
  </r>
  <r>
    <s v="O0005"/>
    <x v="4"/>
    <s v="C052"/>
    <s v="P006"/>
    <n v="4"/>
    <n v="0.15"/>
    <s v="Backpack"/>
    <x v="2"/>
    <n v="55"/>
    <s v="Customer 052"/>
    <x v="3"/>
    <x v="1"/>
    <n v="187"/>
    <n v="108"/>
    <n v="79"/>
  </r>
  <r>
    <s v="O0006"/>
    <x v="5"/>
    <s v="C032"/>
    <s v="P004"/>
    <n v="1"/>
    <n v="0.1"/>
    <s v="Desk Lamp"/>
    <x v="1"/>
    <n v="30"/>
    <s v="Customer 032"/>
    <x v="3"/>
    <x v="2"/>
    <n v="27"/>
    <n v="15"/>
    <n v="12"/>
  </r>
  <r>
    <s v="O0007"/>
    <x v="6"/>
    <s v="C076"/>
    <s v="P009"/>
    <n v="2"/>
    <n v="0.05"/>
    <s v="Office Chair"/>
    <x v="1"/>
    <n v="180"/>
    <s v="Customer 076"/>
    <x v="1"/>
    <x v="2"/>
    <n v="342"/>
    <n v="210"/>
    <n v="132"/>
  </r>
  <r>
    <s v="O0008"/>
    <x v="7"/>
    <s v="C010"/>
    <s v="P001"/>
    <n v="2"/>
    <n v="0"/>
    <s v="Laptop Stand"/>
    <x v="1"/>
    <n v="35"/>
    <s v="Customer 010"/>
    <x v="1"/>
    <x v="1"/>
    <n v="70"/>
    <n v="40"/>
    <n v="30"/>
  </r>
  <r>
    <s v="O0009"/>
    <x v="8"/>
    <s v="C043"/>
    <s v="P002"/>
    <n v="5"/>
    <n v="0.05"/>
    <s v="Wireless Mouse"/>
    <x v="0"/>
    <n v="25"/>
    <s v="Customer 043"/>
    <x v="4"/>
    <x v="2"/>
    <n v="118.75"/>
    <n v="60"/>
    <n v="58.75"/>
  </r>
  <r>
    <s v="O0010"/>
    <x v="9"/>
    <s v="C086"/>
    <s v="P008"/>
    <n v="2"/>
    <n v="0.05"/>
    <s v="Notebook Pack"/>
    <x v="3"/>
    <n v="12"/>
    <s v="Customer 086"/>
    <x v="5"/>
    <x v="2"/>
    <n v="22.799999999999997"/>
    <n v="10"/>
    <n v="12.799999999999997"/>
  </r>
  <r>
    <s v="O0011"/>
    <x v="10"/>
    <s v="C074"/>
    <s v="P008"/>
    <n v="2"/>
    <n v="0.15"/>
    <s v="Notebook Pack"/>
    <x v="3"/>
    <n v="12"/>
    <s v="Customer 074"/>
    <x v="5"/>
    <x v="0"/>
    <n v="20.399999999999999"/>
    <n v="10"/>
    <n v="10.399999999999999"/>
  </r>
  <r>
    <s v="O0012"/>
    <x v="11"/>
    <s v="C025"/>
    <s v="P002"/>
    <n v="1"/>
    <n v="0.15"/>
    <s v="Wireless Mouse"/>
    <x v="0"/>
    <n v="25"/>
    <s v="Customer 025"/>
    <x v="0"/>
    <x v="2"/>
    <n v="21.25"/>
    <n v="12"/>
    <n v="9.25"/>
  </r>
  <r>
    <s v="O0013"/>
    <x v="12"/>
    <s v="C055"/>
    <s v="P007"/>
    <n v="4"/>
    <n v="0"/>
    <s v="Headphones"/>
    <x v="0"/>
    <n v="75"/>
    <s v="Customer 055"/>
    <x v="1"/>
    <x v="2"/>
    <n v="300"/>
    <n v="160"/>
    <n v="140"/>
  </r>
  <r>
    <s v="O0014"/>
    <x v="13"/>
    <s v="C084"/>
    <s v="P002"/>
    <n v="1"/>
    <n v="0.15"/>
    <s v="Wireless Mouse"/>
    <x v="0"/>
    <n v="25"/>
    <s v="Customer 084"/>
    <x v="0"/>
    <x v="1"/>
    <n v="21.25"/>
    <n v="12"/>
    <n v="9.25"/>
  </r>
  <r>
    <s v="O0015"/>
    <x v="14"/>
    <s v="C014"/>
    <s v="P004"/>
    <n v="2"/>
    <n v="0.05"/>
    <s v="Desk Lamp"/>
    <x v="1"/>
    <n v="30"/>
    <s v="Customer 014"/>
    <x v="4"/>
    <x v="0"/>
    <n v="57"/>
    <n v="30"/>
    <n v="27"/>
  </r>
  <r>
    <s v="O0016"/>
    <x v="15"/>
    <s v="C058"/>
    <s v="P003"/>
    <n v="4"/>
    <n v="0.05"/>
    <s v="Keyboard"/>
    <x v="0"/>
    <n v="45"/>
    <s v="Customer 058"/>
    <x v="3"/>
    <x v="0"/>
    <n v="171"/>
    <n v="88"/>
    <n v="83"/>
  </r>
  <r>
    <s v="O0017"/>
    <x v="9"/>
    <s v="C060"/>
    <s v="P004"/>
    <n v="1"/>
    <n v="0.15"/>
    <s v="Desk Lamp"/>
    <x v="1"/>
    <n v="30"/>
    <s v="Customer 060"/>
    <x v="4"/>
    <x v="2"/>
    <n v="25.5"/>
    <n v="15"/>
    <n v="10.5"/>
  </r>
  <r>
    <s v="O0018"/>
    <x v="16"/>
    <s v="C013"/>
    <s v="P001"/>
    <n v="5"/>
    <n v="0"/>
    <s v="Laptop Stand"/>
    <x v="1"/>
    <n v="35"/>
    <s v="Customer 013"/>
    <x v="3"/>
    <x v="1"/>
    <n v="175"/>
    <n v="100"/>
    <n v="75"/>
  </r>
  <r>
    <s v="O0019"/>
    <x v="17"/>
    <s v="C097"/>
    <s v="P004"/>
    <n v="2"/>
    <n v="0.15"/>
    <s v="Desk Lamp"/>
    <x v="1"/>
    <n v="30"/>
    <s v="Customer 097"/>
    <x v="3"/>
    <x v="2"/>
    <n v="51"/>
    <n v="30"/>
    <n v="21"/>
  </r>
  <r>
    <s v="O0020"/>
    <x v="1"/>
    <s v="C062"/>
    <s v="P004"/>
    <n v="4"/>
    <n v="0"/>
    <s v="Desk Lamp"/>
    <x v="1"/>
    <n v="30"/>
    <s v="Customer 062"/>
    <x v="2"/>
    <x v="1"/>
    <n v="120"/>
    <n v="60"/>
    <n v="60"/>
  </r>
  <r>
    <s v="O0021"/>
    <x v="18"/>
    <s v="C049"/>
    <s v="P001"/>
    <n v="4"/>
    <n v="0.1"/>
    <s v="Laptop Stand"/>
    <x v="1"/>
    <n v="35"/>
    <s v="Customer 049"/>
    <x v="5"/>
    <x v="2"/>
    <n v="126"/>
    <n v="80"/>
    <n v="46"/>
  </r>
  <r>
    <s v="O0022"/>
    <x v="19"/>
    <s v="C037"/>
    <s v="P007"/>
    <n v="5"/>
    <n v="0.15"/>
    <s v="Headphones"/>
    <x v="0"/>
    <n v="75"/>
    <s v="Customer 037"/>
    <x v="1"/>
    <x v="1"/>
    <n v="318.75"/>
    <n v="200"/>
    <n v="118.75"/>
  </r>
  <r>
    <s v="O0023"/>
    <x v="20"/>
    <s v="C025"/>
    <s v="P005"/>
    <n v="2"/>
    <n v="0"/>
    <s v="Water Bottle"/>
    <x v="2"/>
    <n v="18"/>
    <s v="Customer 025"/>
    <x v="0"/>
    <x v="2"/>
    <n v="36"/>
    <n v="14"/>
    <n v="22"/>
  </r>
  <r>
    <s v="O0024"/>
    <x v="21"/>
    <s v="C095"/>
    <s v="P009"/>
    <n v="1"/>
    <n v="0.1"/>
    <s v="Office Chair"/>
    <x v="1"/>
    <n v="180"/>
    <s v="Customer 095"/>
    <x v="5"/>
    <x v="0"/>
    <n v="162"/>
    <n v="105"/>
    <n v="57"/>
  </r>
  <r>
    <s v="O0025"/>
    <x v="0"/>
    <s v="C007"/>
    <s v="P010"/>
    <n v="4"/>
    <n v="0.05"/>
    <s v="USB-C Hub"/>
    <x v="0"/>
    <n v="40"/>
    <s v="Customer 007"/>
    <x v="3"/>
    <x v="1"/>
    <n v="152"/>
    <n v="76"/>
    <n v="76"/>
  </r>
  <r>
    <s v="O0026"/>
    <x v="0"/>
    <s v="C066"/>
    <s v="P002"/>
    <n v="2"/>
    <n v="0"/>
    <s v="Wireless Mouse"/>
    <x v="0"/>
    <n v="25"/>
    <s v="Customer 066"/>
    <x v="0"/>
    <x v="0"/>
    <n v="50"/>
    <n v="24"/>
    <n v="26"/>
  </r>
  <r>
    <s v="O0027"/>
    <x v="22"/>
    <s v="C009"/>
    <s v="P004"/>
    <n v="4"/>
    <n v="0"/>
    <s v="Desk Lamp"/>
    <x v="1"/>
    <n v="30"/>
    <s v="Customer 009"/>
    <x v="1"/>
    <x v="1"/>
    <n v="120"/>
    <n v="60"/>
    <n v="60"/>
  </r>
  <r>
    <s v="O0028"/>
    <x v="23"/>
    <s v="C032"/>
    <s v="P010"/>
    <n v="5"/>
    <n v="0"/>
    <s v="USB-C Hub"/>
    <x v="0"/>
    <n v="40"/>
    <s v="Customer 032"/>
    <x v="3"/>
    <x v="2"/>
    <n v="200"/>
    <n v="95"/>
    <n v="105"/>
  </r>
  <r>
    <s v="O0029"/>
    <x v="24"/>
    <s v="C011"/>
    <s v="P007"/>
    <n v="5"/>
    <n v="0.1"/>
    <s v="Headphones"/>
    <x v="0"/>
    <n v="75"/>
    <s v="Customer 011"/>
    <x v="5"/>
    <x v="0"/>
    <n v="337.5"/>
    <n v="200"/>
    <n v="137.5"/>
  </r>
  <r>
    <s v="O0030"/>
    <x v="25"/>
    <s v="C027"/>
    <s v="P006"/>
    <n v="2"/>
    <n v="0.1"/>
    <s v="Backpack"/>
    <x v="2"/>
    <n v="55"/>
    <s v="Customer 027"/>
    <x v="1"/>
    <x v="0"/>
    <n v="99"/>
    <n v="54"/>
    <n v="45"/>
  </r>
  <r>
    <s v="O0031"/>
    <x v="26"/>
    <s v="C017"/>
    <s v="P005"/>
    <n v="4"/>
    <n v="0.1"/>
    <s v="Water Bottle"/>
    <x v="2"/>
    <n v="18"/>
    <s v="Customer 017"/>
    <x v="2"/>
    <x v="0"/>
    <n v="64.8"/>
    <n v="28"/>
    <n v="36.799999999999997"/>
  </r>
  <r>
    <s v="O0032"/>
    <x v="27"/>
    <s v="C002"/>
    <s v="P008"/>
    <n v="5"/>
    <n v="0"/>
    <s v="Notebook Pack"/>
    <x v="3"/>
    <n v="12"/>
    <s v="Customer 002"/>
    <x v="1"/>
    <x v="0"/>
    <n v="60"/>
    <n v="25"/>
    <n v="35"/>
  </r>
  <r>
    <s v="O0033"/>
    <x v="27"/>
    <s v="C069"/>
    <s v="P004"/>
    <n v="5"/>
    <n v="0.1"/>
    <s v="Desk Lamp"/>
    <x v="1"/>
    <n v="30"/>
    <s v="Customer 069"/>
    <x v="0"/>
    <x v="1"/>
    <n v="135"/>
    <n v="75"/>
    <n v="60"/>
  </r>
  <r>
    <s v="O0034"/>
    <x v="28"/>
    <s v="C045"/>
    <s v="P002"/>
    <n v="2"/>
    <n v="0.1"/>
    <s v="Wireless Mouse"/>
    <x v="0"/>
    <n v="25"/>
    <s v="Customer 045"/>
    <x v="4"/>
    <x v="1"/>
    <n v="45"/>
    <n v="24"/>
    <n v="21"/>
  </r>
  <r>
    <s v="O0035"/>
    <x v="29"/>
    <s v="C021"/>
    <s v="P008"/>
    <n v="5"/>
    <n v="0.1"/>
    <s v="Notebook Pack"/>
    <x v="3"/>
    <n v="12"/>
    <s v="Customer 021"/>
    <x v="0"/>
    <x v="1"/>
    <n v="54"/>
    <n v="25"/>
    <n v="29"/>
  </r>
  <r>
    <s v="O0036"/>
    <x v="30"/>
    <s v="C084"/>
    <s v="P009"/>
    <n v="1"/>
    <n v="0.1"/>
    <s v="Office Chair"/>
    <x v="1"/>
    <n v="180"/>
    <s v="Customer 084"/>
    <x v="0"/>
    <x v="1"/>
    <n v="162"/>
    <n v="105"/>
    <n v="57"/>
  </r>
  <r>
    <s v="O0037"/>
    <x v="31"/>
    <s v="C014"/>
    <s v="P003"/>
    <n v="3"/>
    <n v="0"/>
    <s v="Keyboard"/>
    <x v="0"/>
    <n v="45"/>
    <s v="Customer 014"/>
    <x v="4"/>
    <x v="0"/>
    <n v="135"/>
    <n v="66"/>
    <n v="69"/>
  </r>
  <r>
    <s v="O0038"/>
    <x v="32"/>
    <s v="C096"/>
    <s v="P009"/>
    <n v="2"/>
    <n v="0.1"/>
    <s v="Office Chair"/>
    <x v="1"/>
    <n v="180"/>
    <s v="Customer 096"/>
    <x v="3"/>
    <x v="1"/>
    <n v="324"/>
    <n v="210"/>
    <n v="114"/>
  </r>
  <r>
    <s v="O0039"/>
    <x v="33"/>
    <s v="C078"/>
    <s v="P004"/>
    <n v="3"/>
    <n v="0.05"/>
    <s v="Desk Lamp"/>
    <x v="1"/>
    <n v="30"/>
    <s v="Customer 078"/>
    <x v="2"/>
    <x v="0"/>
    <n v="85.5"/>
    <n v="45"/>
    <n v="40.5"/>
  </r>
  <r>
    <s v="O0040"/>
    <x v="34"/>
    <s v="C082"/>
    <s v="P005"/>
    <n v="5"/>
    <n v="0.15"/>
    <s v="Water Bottle"/>
    <x v="2"/>
    <n v="18"/>
    <s v="Customer 082"/>
    <x v="4"/>
    <x v="0"/>
    <n v="76.5"/>
    <n v="35"/>
    <n v="41.5"/>
  </r>
  <r>
    <s v="O0041"/>
    <x v="35"/>
    <s v="C007"/>
    <s v="P002"/>
    <n v="4"/>
    <n v="0.1"/>
    <s v="Wireless Mouse"/>
    <x v="0"/>
    <n v="25"/>
    <s v="Customer 007"/>
    <x v="3"/>
    <x v="1"/>
    <n v="90"/>
    <n v="48"/>
    <n v="42"/>
  </r>
  <r>
    <s v="O0042"/>
    <x v="36"/>
    <s v="C001"/>
    <s v="P006"/>
    <n v="2"/>
    <n v="0.1"/>
    <s v="Backpack"/>
    <x v="2"/>
    <n v="55"/>
    <s v="Customer 001"/>
    <x v="4"/>
    <x v="1"/>
    <n v="99"/>
    <n v="54"/>
    <n v="45"/>
  </r>
  <r>
    <s v="O0043"/>
    <x v="37"/>
    <s v="C095"/>
    <s v="P008"/>
    <n v="5"/>
    <n v="0.15"/>
    <s v="Notebook Pack"/>
    <x v="3"/>
    <n v="12"/>
    <s v="Customer 095"/>
    <x v="5"/>
    <x v="0"/>
    <n v="51"/>
    <n v="25"/>
    <n v="26"/>
  </r>
  <r>
    <s v="O0044"/>
    <x v="38"/>
    <s v="C002"/>
    <s v="P002"/>
    <n v="1"/>
    <n v="0.05"/>
    <s v="Wireless Mouse"/>
    <x v="0"/>
    <n v="25"/>
    <s v="Customer 002"/>
    <x v="1"/>
    <x v="0"/>
    <n v="23.75"/>
    <n v="12"/>
    <n v="11.75"/>
  </r>
  <r>
    <s v="O0045"/>
    <x v="39"/>
    <s v="C005"/>
    <s v="P006"/>
    <n v="5"/>
    <n v="0.05"/>
    <s v="Backpack"/>
    <x v="2"/>
    <n v="55"/>
    <s v="Customer 005"/>
    <x v="4"/>
    <x v="1"/>
    <n v="261.25"/>
    <n v="135"/>
    <n v="126.25"/>
  </r>
  <r>
    <s v="O0046"/>
    <x v="40"/>
    <s v="C017"/>
    <s v="P001"/>
    <n v="3"/>
    <n v="0.1"/>
    <s v="Laptop Stand"/>
    <x v="1"/>
    <n v="35"/>
    <s v="Customer 017"/>
    <x v="2"/>
    <x v="0"/>
    <n v="94.5"/>
    <n v="60"/>
    <n v="34.5"/>
  </r>
  <r>
    <s v="O0047"/>
    <x v="41"/>
    <s v="C046"/>
    <s v="P004"/>
    <n v="2"/>
    <n v="0"/>
    <s v="Desk Lamp"/>
    <x v="1"/>
    <n v="30"/>
    <s v="Customer 046"/>
    <x v="3"/>
    <x v="0"/>
    <n v="60"/>
    <n v="30"/>
    <n v="30"/>
  </r>
  <r>
    <s v="O0048"/>
    <x v="12"/>
    <s v="C100"/>
    <s v="P009"/>
    <n v="4"/>
    <n v="0.05"/>
    <s v="Office Chair"/>
    <x v="1"/>
    <n v="180"/>
    <s v="Customer 100"/>
    <x v="0"/>
    <x v="1"/>
    <n v="684"/>
    <n v="420"/>
    <n v="264"/>
  </r>
  <r>
    <s v="O0049"/>
    <x v="42"/>
    <s v="C021"/>
    <s v="P003"/>
    <n v="4"/>
    <n v="0"/>
    <s v="Keyboard"/>
    <x v="0"/>
    <n v="45"/>
    <s v="Customer 021"/>
    <x v="0"/>
    <x v="1"/>
    <n v="180"/>
    <n v="88"/>
    <n v="92"/>
  </r>
  <r>
    <s v="O0050"/>
    <x v="43"/>
    <s v="C095"/>
    <s v="P006"/>
    <n v="4"/>
    <n v="0.05"/>
    <s v="Backpack"/>
    <x v="2"/>
    <n v="55"/>
    <s v="Customer 095"/>
    <x v="5"/>
    <x v="0"/>
    <n v="209"/>
    <n v="108"/>
    <n v="101"/>
  </r>
  <r>
    <s v="O0051"/>
    <x v="44"/>
    <s v="C021"/>
    <s v="P002"/>
    <n v="4"/>
    <n v="0"/>
    <s v="Wireless Mouse"/>
    <x v="0"/>
    <n v="25"/>
    <s v="Customer 021"/>
    <x v="0"/>
    <x v="1"/>
    <n v="100"/>
    <n v="48"/>
    <n v="52"/>
  </r>
  <r>
    <s v="O0052"/>
    <x v="45"/>
    <s v="C029"/>
    <s v="P004"/>
    <n v="4"/>
    <n v="0.1"/>
    <s v="Desk Lamp"/>
    <x v="1"/>
    <n v="30"/>
    <s v="Customer 029"/>
    <x v="1"/>
    <x v="2"/>
    <n v="108"/>
    <n v="60"/>
    <n v="48"/>
  </r>
  <r>
    <s v="O0053"/>
    <x v="46"/>
    <s v="C030"/>
    <s v="P004"/>
    <n v="1"/>
    <n v="0.05"/>
    <s v="Desk Lamp"/>
    <x v="1"/>
    <n v="30"/>
    <s v="Customer 030"/>
    <x v="1"/>
    <x v="0"/>
    <n v="28.5"/>
    <n v="15"/>
    <n v="13.5"/>
  </r>
  <r>
    <s v="O0054"/>
    <x v="47"/>
    <s v="C043"/>
    <s v="P005"/>
    <n v="1"/>
    <n v="0.1"/>
    <s v="Water Bottle"/>
    <x v="2"/>
    <n v="18"/>
    <s v="Customer 043"/>
    <x v="4"/>
    <x v="2"/>
    <n v="16.2"/>
    <n v="7"/>
    <n v="9.1999999999999993"/>
  </r>
  <r>
    <s v="O0055"/>
    <x v="48"/>
    <s v="C083"/>
    <s v="P009"/>
    <n v="4"/>
    <n v="0.1"/>
    <s v="Office Chair"/>
    <x v="1"/>
    <n v="180"/>
    <s v="Customer 083"/>
    <x v="0"/>
    <x v="0"/>
    <n v="648"/>
    <n v="420"/>
    <n v="228"/>
  </r>
  <r>
    <s v="O0056"/>
    <x v="49"/>
    <s v="C015"/>
    <s v="P005"/>
    <n v="2"/>
    <n v="0.1"/>
    <s v="Water Bottle"/>
    <x v="2"/>
    <n v="18"/>
    <s v="Customer 015"/>
    <x v="4"/>
    <x v="0"/>
    <n v="32.4"/>
    <n v="14"/>
    <n v="18.399999999999999"/>
  </r>
  <r>
    <s v="O0057"/>
    <x v="50"/>
    <s v="C014"/>
    <s v="P010"/>
    <n v="4"/>
    <n v="0.1"/>
    <s v="USB-C Hub"/>
    <x v="0"/>
    <n v="40"/>
    <s v="Customer 014"/>
    <x v="4"/>
    <x v="0"/>
    <n v="144"/>
    <n v="76"/>
    <n v="68"/>
  </r>
  <r>
    <s v="O0058"/>
    <x v="51"/>
    <s v="C056"/>
    <s v="P010"/>
    <n v="5"/>
    <n v="0"/>
    <s v="USB-C Hub"/>
    <x v="0"/>
    <n v="40"/>
    <s v="Customer 056"/>
    <x v="2"/>
    <x v="2"/>
    <n v="200"/>
    <n v="95"/>
    <n v="105"/>
  </r>
  <r>
    <s v="O0059"/>
    <x v="52"/>
    <s v="C074"/>
    <s v="P004"/>
    <n v="3"/>
    <n v="0"/>
    <s v="Desk Lamp"/>
    <x v="1"/>
    <n v="30"/>
    <s v="Customer 074"/>
    <x v="5"/>
    <x v="0"/>
    <n v="90"/>
    <n v="45"/>
    <n v="45"/>
  </r>
  <r>
    <s v="O0060"/>
    <x v="53"/>
    <s v="C056"/>
    <s v="P001"/>
    <n v="5"/>
    <n v="0.05"/>
    <s v="Laptop Stand"/>
    <x v="1"/>
    <n v="35"/>
    <s v="Customer 056"/>
    <x v="2"/>
    <x v="2"/>
    <n v="166.25"/>
    <n v="100"/>
    <n v="66.25"/>
  </r>
  <r>
    <s v="O0061"/>
    <x v="54"/>
    <s v="C056"/>
    <s v="P002"/>
    <n v="3"/>
    <n v="0.1"/>
    <s v="Wireless Mouse"/>
    <x v="0"/>
    <n v="25"/>
    <s v="Customer 056"/>
    <x v="2"/>
    <x v="2"/>
    <n v="67.5"/>
    <n v="36"/>
    <n v="31.5"/>
  </r>
  <r>
    <s v="O0062"/>
    <x v="31"/>
    <s v="C016"/>
    <s v="P005"/>
    <n v="5"/>
    <n v="0.1"/>
    <s v="Water Bottle"/>
    <x v="2"/>
    <n v="18"/>
    <s v="Customer 016"/>
    <x v="2"/>
    <x v="1"/>
    <n v="81"/>
    <n v="35"/>
    <n v="46"/>
  </r>
  <r>
    <s v="O0063"/>
    <x v="55"/>
    <s v="C053"/>
    <s v="P006"/>
    <n v="4"/>
    <n v="0.1"/>
    <s v="Backpack"/>
    <x v="2"/>
    <n v="55"/>
    <s v="Customer 053"/>
    <x v="4"/>
    <x v="2"/>
    <n v="198"/>
    <n v="108"/>
    <n v="90"/>
  </r>
  <r>
    <s v="O0064"/>
    <x v="56"/>
    <s v="C017"/>
    <s v="P004"/>
    <n v="4"/>
    <n v="0.15"/>
    <s v="Desk Lamp"/>
    <x v="1"/>
    <n v="30"/>
    <s v="Customer 017"/>
    <x v="2"/>
    <x v="0"/>
    <n v="102"/>
    <n v="60"/>
    <n v="42"/>
  </r>
  <r>
    <s v="O0065"/>
    <x v="57"/>
    <s v="C096"/>
    <s v="P003"/>
    <n v="5"/>
    <n v="0.1"/>
    <s v="Keyboard"/>
    <x v="0"/>
    <n v="45"/>
    <s v="Customer 096"/>
    <x v="3"/>
    <x v="1"/>
    <n v="202.5"/>
    <n v="110"/>
    <n v="92.5"/>
  </r>
  <r>
    <s v="O0066"/>
    <x v="58"/>
    <s v="C071"/>
    <s v="P001"/>
    <n v="3"/>
    <n v="0.1"/>
    <s v="Laptop Stand"/>
    <x v="1"/>
    <n v="35"/>
    <s v="Customer 071"/>
    <x v="2"/>
    <x v="1"/>
    <n v="94.5"/>
    <n v="60"/>
    <n v="34.5"/>
  </r>
  <r>
    <s v="O0067"/>
    <x v="59"/>
    <s v="C056"/>
    <s v="P010"/>
    <n v="5"/>
    <n v="0.1"/>
    <s v="USB-C Hub"/>
    <x v="0"/>
    <n v="40"/>
    <s v="Customer 056"/>
    <x v="2"/>
    <x v="2"/>
    <n v="180"/>
    <n v="95"/>
    <n v="85"/>
  </r>
  <r>
    <s v="O0068"/>
    <x v="60"/>
    <s v="C057"/>
    <s v="P008"/>
    <n v="2"/>
    <n v="0.15"/>
    <s v="Notebook Pack"/>
    <x v="3"/>
    <n v="12"/>
    <s v="Customer 057"/>
    <x v="1"/>
    <x v="1"/>
    <n v="20.399999999999999"/>
    <n v="10"/>
    <n v="10.399999999999999"/>
  </r>
  <r>
    <s v="O0069"/>
    <x v="61"/>
    <s v="C085"/>
    <s v="P002"/>
    <n v="3"/>
    <n v="0.1"/>
    <s v="Wireless Mouse"/>
    <x v="0"/>
    <n v="25"/>
    <s v="Customer 085"/>
    <x v="0"/>
    <x v="2"/>
    <n v="67.5"/>
    <n v="36"/>
    <n v="31.5"/>
  </r>
  <r>
    <s v="O0070"/>
    <x v="17"/>
    <s v="C097"/>
    <s v="P004"/>
    <n v="3"/>
    <n v="0.05"/>
    <s v="Desk Lamp"/>
    <x v="1"/>
    <n v="30"/>
    <s v="Customer 097"/>
    <x v="3"/>
    <x v="2"/>
    <n v="85.5"/>
    <n v="45"/>
    <n v="40.5"/>
  </r>
  <r>
    <s v="O0071"/>
    <x v="62"/>
    <s v="C019"/>
    <s v="P001"/>
    <n v="1"/>
    <n v="0.05"/>
    <s v="Laptop Stand"/>
    <x v="1"/>
    <n v="35"/>
    <s v="Customer 019"/>
    <x v="5"/>
    <x v="0"/>
    <n v="33.25"/>
    <n v="20"/>
    <n v="13.25"/>
  </r>
  <r>
    <s v="O0072"/>
    <x v="63"/>
    <s v="C079"/>
    <s v="P002"/>
    <n v="4"/>
    <n v="0.15"/>
    <s v="Wireless Mouse"/>
    <x v="0"/>
    <n v="25"/>
    <s v="Customer 079"/>
    <x v="0"/>
    <x v="0"/>
    <n v="85"/>
    <n v="48"/>
    <n v="37"/>
  </r>
  <r>
    <s v="O0073"/>
    <x v="64"/>
    <s v="C074"/>
    <s v="P004"/>
    <n v="4"/>
    <n v="0.15"/>
    <s v="Desk Lamp"/>
    <x v="1"/>
    <n v="30"/>
    <s v="Customer 074"/>
    <x v="5"/>
    <x v="0"/>
    <n v="102"/>
    <n v="60"/>
    <n v="42"/>
  </r>
  <r>
    <s v="O0074"/>
    <x v="47"/>
    <s v="C032"/>
    <s v="P003"/>
    <n v="1"/>
    <n v="0"/>
    <s v="Keyboard"/>
    <x v="0"/>
    <n v="45"/>
    <s v="Customer 032"/>
    <x v="3"/>
    <x v="2"/>
    <n v="45"/>
    <n v="22"/>
    <n v="23"/>
  </r>
  <r>
    <s v="O0075"/>
    <x v="65"/>
    <s v="C029"/>
    <s v="P003"/>
    <n v="5"/>
    <n v="0.15"/>
    <s v="Keyboard"/>
    <x v="0"/>
    <n v="45"/>
    <s v="Customer 029"/>
    <x v="1"/>
    <x v="2"/>
    <n v="191.25"/>
    <n v="110"/>
    <n v="81.25"/>
  </r>
  <r>
    <s v="O0076"/>
    <x v="66"/>
    <s v="C072"/>
    <s v="P004"/>
    <n v="1"/>
    <n v="0.15"/>
    <s v="Desk Lamp"/>
    <x v="1"/>
    <n v="30"/>
    <s v="Customer 072"/>
    <x v="1"/>
    <x v="1"/>
    <n v="25.5"/>
    <n v="15"/>
    <n v="10.5"/>
  </r>
  <r>
    <s v="O0077"/>
    <x v="67"/>
    <s v="C060"/>
    <s v="P009"/>
    <n v="5"/>
    <n v="0.1"/>
    <s v="Office Chair"/>
    <x v="1"/>
    <n v="180"/>
    <s v="Customer 060"/>
    <x v="4"/>
    <x v="2"/>
    <n v="810"/>
    <n v="525"/>
    <n v="285"/>
  </r>
  <r>
    <s v="O0078"/>
    <x v="68"/>
    <s v="C079"/>
    <s v="P009"/>
    <n v="4"/>
    <n v="0.15"/>
    <s v="Office Chair"/>
    <x v="1"/>
    <n v="180"/>
    <s v="Customer 079"/>
    <x v="0"/>
    <x v="0"/>
    <n v="612"/>
    <n v="420"/>
    <n v="192"/>
  </r>
  <r>
    <s v="O0079"/>
    <x v="69"/>
    <s v="C096"/>
    <s v="P008"/>
    <n v="4"/>
    <n v="0.1"/>
    <s v="Notebook Pack"/>
    <x v="3"/>
    <n v="12"/>
    <s v="Customer 096"/>
    <x v="3"/>
    <x v="1"/>
    <n v="43.2"/>
    <n v="20"/>
    <n v="23.200000000000003"/>
  </r>
  <r>
    <s v="O0080"/>
    <x v="70"/>
    <s v="C082"/>
    <s v="P005"/>
    <n v="5"/>
    <n v="0.15"/>
    <s v="Water Bottle"/>
    <x v="2"/>
    <n v="18"/>
    <s v="Customer 082"/>
    <x v="4"/>
    <x v="0"/>
    <n v="76.5"/>
    <n v="35"/>
    <n v="41.5"/>
  </r>
  <r>
    <s v="O0081"/>
    <x v="71"/>
    <s v="C031"/>
    <s v="P005"/>
    <n v="4"/>
    <n v="0"/>
    <s v="Water Bottle"/>
    <x v="2"/>
    <n v="18"/>
    <s v="Customer 031"/>
    <x v="0"/>
    <x v="0"/>
    <n v="72"/>
    <n v="28"/>
    <n v="44"/>
  </r>
  <r>
    <s v="O0082"/>
    <x v="72"/>
    <s v="C031"/>
    <s v="P005"/>
    <n v="3"/>
    <n v="0.1"/>
    <s v="Water Bottle"/>
    <x v="2"/>
    <n v="18"/>
    <s v="Customer 031"/>
    <x v="0"/>
    <x v="0"/>
    <n v="48.6"/>
    <n v="21"/>
    <n v="27.6"/>
  </r>
  <r>
    <s v="O0083"/>
    <x v="73"/>
    <s v="C011"/>
    <s v="P003"/>
    <n v="2"/>
    <n v="0.05"/>
    <s v="Keyboard"/>
    <x v="0"/>
    <n v="45"/>
    <s v="Customer 011"/>
    <x v="5"/>
    <x v="0"/>
    <n v="85.5"/>
    <n v="44"/>
    <n v="41.5"/>
  </r>
  <r>
    <s v="O0084"/>
    <x v="74"/>
    <s v="C089"/>
    <s v="P003"/>
    <n v="2"/>
    <n v="0"/>
    <s v="Keyboard"/>
    <x v="0"/>
    <n v="45"/>
    <s v="Customer 089"/>
    <x v="3"/>
    <x v="1"/>
    <n v="90"/>
    <n v="44"/>
    <n v="46"/>
  </r>
  <r>
    <s v="O0085"/>
    <x v="75"/>
    <s v="C053"/>
    <s v="P006"/>
    <n v="5"/>
    <n v="0.15"/>
    <s v="Backpack"/>
    <x v="2"/>
    <n v="55"/>
    <s v="Customer 053"/>
    <x v="4"/>
    <x v="2"/>
    <n v="233.75"/>
    <n v="135"/>
    <n v="98.75"/>
  </r>
  <r>
    <s v="O0086"/>
    <x v="75"/>
    <s v="C008"/>
    <s v="P004"/>
    <n v="4"/>
    <n v="0.15"/>
    <s v="Desk Lamp"/>
    <x v="1"/>
    <n v="30"/>
    <s v="Customer 008"/>
    <x v="3"/>
    <x v="2"/>
    <n v="102"/>
    <n v="60"/>
    <n v="42"/>
  </r>
  <r>
    <s v="O0087"/>
    <x v="76"/>
    <s v="C090"/>
    <s v="P001"/>
    <n v="5"/>
    <n v="0.15"/>
    <s v="Laptop Stand"/>
    <x v="1"/>
    <n v="35"/>
    <s v="Customer 090"/>
    <x v="3"/>
    <x v="1"/>
    <n v="148.75"/>
    <n v="100"/>
    <n v="48.75"/>
  </r>
  <r>
    <s v="O0088"/>
    <x v="77"/>
    <s v="C001"/>
    <s v="P006"/>
    <n v="3"/>
    <n v="0.15"/>
    <s v="Backpack"/>
    <x v="2"/>
    <n v="55"/>
    <s v="Customer 001"/>
    <x v="4"/>
    <x v="1"/>
    <n v="140.25"/>
    <n v="81"/>
    <n v="59.25"/>
  </r>
  <r>
    <s v="O0089"/>
    <x v="78"/>
    <s v="C069"/>
    <s v="P009"/>
    <n v="5"/>
    <n v="0.05"/>
    <s v="Office Chair"/>
    <x v="1"/>
    <n v="180"/>
    <s v="Customer 069"/>
    <x v="0"/>
    <x v="1"/>
    <n v="855"/>
    <n v="525"/>
    <n v="330"/>
  </r>
  <r>
    <s v="O0090"/>
    <x v="79"/>
    <s v="C029"/>
    <s v="P005"/>
    <n v="4"/>
    <n v="0.15"/>
    <s v="Water Bottle"/>
    <x v="2"/>
    <n v="18"/>
    <s v="Customer 029"/>
    <x v="1"/>
    <x v="2"/>
    <n v="61.199999999999996"/>
    <n v="28"/>
    <n v="33.199999999999996"/>
  </r>
  <r>
    <s v="O0091"/>
    <x v="49"/>
    <s v="C050"/>
    <s v="P006"/>
    <n v="4"/>
    <n v="0.05"/>
    <s v="Backpack"/>
    <x v="2"/>
    <n v="55"/>
    <s v="Customer 050"/>
    <x v="2"/>
    <x v="2"/>
    <n v="209"/>
    <n v="108"/>
    <n v="101"/>
  </r>
  <r>
    <s v="O0092"/>
    <x v="80"/>
    <s v="C017"/>
    <s v="P010"/>
    <n v="5"/>
    <n v="0"/>
    <s v="USB-C Hub"/>
    <x v="0"/>
    <n v="40"/>
    <s v="Customer 017"/>
    <x v="2"/>
    <x v="0"/>
    <n v="200"/>
    <n v="95"/>
    <n v="105"/>
  </r>
  <r>
    <s v="O0093"/>
    <x v="81"/>
    <s v="C076"/>
    <s v="P010"/>
    <n v="1"/>
    <n v="0"/>
    <s v="USB-C Hub"/>
    <x v="0"/>
    <n v="40"/>
    <s v="Customer 076"/>
    <x v="1"/>
    <x v="2"/>
    <n v="40"/>
    <n v="19"/>
    <n v="21"/>
  </r>
  <r>
    <s v="O0094"/>
    <x v="82"/>
    <s v="C055"/>
    <s v="P003"/>
    <n v="4"/>
    <n v="0.05"/>
    <s v="Keyboard"/>
    <x v="0"/>
    <n v="45"/>
    <s v="Customer 055"/>
    <x v="1"/>
    <x v="2"/>
    <n v="171"/>
    <n v="88"/>
    <n v="83"/>
  </r>
  <r>
    <s v="O0095"/>
    <x v="66"/>
    <s v="C034"/>
    <s v="P007"/>
    <n v="3"/>
    <n v="0.05"/>
    <s v="Headphones"/>
    <x v="0"/>
    <n v="75"/>
    <s v="Customer 034"/>
    <x v="4"/>
    <x v="1"/>
    <n v="213.75"/>
    <n v="120"/>
    <n v="93.75"/>
  </r>
  <r>
    <s v="O0096"/>
    <x v="19"/>
    <s v="C042"/>
    <s v="P006"/>
    <n v="4"/>
    <n v="0.1"/>
    <s v="Backpack"/>
    <x v="2"/>
    <n v="55"/>
    <s v="Customer 042"/>
    <x v="0"/>
    <x v="1"/>
    <n v="198"/>
    <n v="108"/>
    <n v="90"/>
  </r>
  <r>
    <s v="O0097"/>
    <x v="83"/>
    <s v="C033"/>
    <s v="P002"/>
    <n v="4"/>
    <n v="0"/>
    <s v="Wireless Mouse"/>
    <x v="0"/>
    <n v="25"/>
    <s v="Customer 033"/>
    <x v="3"/>
    <x v="1"/>
    <n v="100"/>
    <n v="48"/>
    <n v="52"/>
  </r>
  <r>
    <s v="O0098"/>
    <x v="73"/>
    <s v="C007"/>
    <s v="P006"/>
    <n v="2"/>
    <n v="0"/>
    <s v="Backpack"/>
    <x v="2"/>
    <n v="55"/>
    <s v="Customer 007"/>
    <x v="3"/>
    <x v="1"/>
    <n v="110"/>
    <n v="54"/>
    <n v="56"/>
  </r>
  <r>
    <s v="O0099"/>
    <x v="84"/>
    <s v="C006"/>
    <s v="P001"/>
    <n v="2"/>
    <n v="0.05"/>
    <s v="Laptop Stand"/>
    <x v="1"/>
    <n v="35"/>
    <s v="Customer 006"/>
    <x v="4"/>
    <x v="0"/>
    <n v="66.5"/>
    <n v="40"/>
    <n v="26.5"/>
  </r>
  <r>
    <s v="O0100"/>
    <x v="6"/>
    <s v="C080"/>
    <s v="P003"/>
    <n v="2"/>
    <n v="0.05"/>
    <s v="Keyboard"/>
    <x v="0"/>
    <n v="45"/>
    <s v="Customer 080"/>
    <x v="1"/>
    <x v="0"/>
    <n v="85.5"/>
    <n v="44"/>
    <n v="41.5"/>
  </r>
  <r>
    <s v="O0101"/>
    <x v="85"/>
    <s v="C086"/>
    <s v="P002"/>
    <n v="5"/>
    <n v="0.05"/>
    <s v="Wireless Mouse"/>
    <x v="0"/>
    <n v="25"/>
    <s v="Customer 086"/>
    <x v="5"/>
    <x v="2"/>
    <n v="118.75"/>
    <n v="60"/>
    <n v="58.75"/>
  </r>
  <r>
    <s v="O0102"/>
    <x v="60"/>
    <s v="C090"/>
    <s v="P005"/>
    <n v="3"/>
    <n v="0.05"/>
    <s v="Water Bottle"/>
    <x v="2"/>
    <n v="18"/>
    <s v="Customer 090"/>
    <x v="3"/>
    <x v="1"/>
    <n v="51.3"/>
    <n v="21"/>
    <n v="30.299999999999997"/>
  </r>
  <r>
    <s v="O0103"/>
    <x v="86"/>
    <s v="C078"/>
    <s v="P002"/>
    <n v="2"/>
    <n v="0.1"/>
    <s v="Wireless Mouse"/>
    <x v="0"/>
    <n v="25"/>
    <s v="Customer 078"/>
    <x v="2"/>
    <x v="0"/>
    <n v="45"/>
    <n v="24"/>
    <n v="21"/>
  </r>
  <r>
    <s v="O0104"/>
    <x v="87"/>
    <s v="C075"/>
    <s v="P001"/>
    <n v="3"/>
    <n v="0.15"/>
    <s v="Laptop Stand"/>
    <x v="1"/>
    <n v="35"/>
    <s v="Customer 075"/>
    <x v="2"/>
    <x v="0"/>
    <n v="89.25"/>
    <n v="60"/>
    <n v="29.25"/>
  </r>
  <r>
    <s v="O0105"/>
    <x v="88"/>
    <s v="C092"/>
    <s v="P004"/>
    <n v="1"/>
    <n v="0.05"/>
    <s v="Desk Lamp"/>
    <x v="1"/>
    <n v="30"/>
    <s v="Customer 092"/>
    <x v="4"/>
    <x v="0"/>
    <n v="28.5"/>
    <n v="15"/>
    <n v="13.5"/>
  </r>
  <r>
    <s v="O0106"/>
    <x v="89"/>
    <s v="C090"/>
    <s v="P005"/>
    <n v="5"/>
    <n v="0"/>
    <s v="Water Bottle"/>
    <x v="2"/>
    <n v="18"/>
    <s v="Customer 090"/>
    <x v="3"/>
    <x v="1"/>
    <n v="90"/>
    <n v="35"/>
    <n v="55"/>
  </r>
  <r>
    <s v="O0107"/>
    <x v="90"/>
    <s v="C006"/>
    <s v="P006"/>
    <n v="5"/>
    <n v="0.15"/>
    <s v="Backpack"/>
    <x v="2"/>
    <n v="55"/>
    <s v="Customer 006"/>
    <x v="4"/>
    <x v="0"/>
    <n v="233.75"/>
    <n v="135"/>
    <n v="98.75"/>
  </r>
  <r>
    <s v="O0108"/>
    <x v="91"/>
    <s v="C048"/>
    <s v="P002"/>
    <n v="5"/>
    <n v="0.1"/>
    <s v="Wireless Mouse"/>
    <x v="0"/>
    <n v="25"/>
    <s v="Customer 048"/>
    <x v="4"/>
    <x v="1"/>
    <n v="112.5"/>
    <n v="60"/>
    <n v="52.5"/>
  </r>
  <r>
    <s v="O0109"/>
    <x v="92"/>
    <s v="C054"/>
    <s v="P008"/>
    <n v="1"/>
    <n v="0.15"/>
    <s v="Notebook Pack"/>
    <x v="3"/>
    <n v="12"/>
    <s v="Customer 054"/>
    <x v="1"/>
    <x v="1"/>
    <n v="10.199999999999999"/>
    <n v="5"/>
    <n v="5.1999999999999993"/>
  </r>
  <r>
    <s v="O0110"/>
    <x v="93"/>
    <s v="C082"/>
    <s v="P008"/>
    <n v="2"/>
    <n v="0.15"/>
    <s v="Notebook Pack"/>
    <x v="3"/>
    <n v="12"/>
    <s v="Customer 082"/>
    <x v="4"/>
    <x v="0"/>
    <n v="20.399999999999999"/>
    <n v="10"/>
    <n v="10.399999999999999"/>
  </r>
  <r>
    <s v="O0111"/>
    <x v="94"/>
    <s v="C094"/>
    <s v="P009"/>
    <n v="3"/>
    <n v="0.15"/>
    <s v="Office Chair"/>
    <x v="1"/>
    <n v="180"/>
    <s v="Customer 094"/>
    <x v="5"/>
    <x v="2"/>
    <n v="459"/>
    <n v="315"/>
    <n v="144"/>
  </r>
  <r>
    <s v="O0112"/>
    <x v="60"/>
    <s v="C056"/>
    <s v="P010"/>
    <n v="3"/>
    <n v="0.1"/>
    <s v="USB-C Hub"/>
    <x v="0"/>
    <n v="40"/>
    <s v="Customer 056"/>
    <x v="2"/>
    <x v="2"/>
    <n v="108"/>
    <n v="57"/>
    <n v="51"/>
  </r>
  <r>
    <s v="O0113"/>
    <x v="95"/>
    <s v="C012"/>
    <s v="P005"/>
    <n v="4"/>
    <n v="0.05"/>
    <s v="Water Bottle"/>
    <x v="2"/>
    <n v="18"/>
    <s v="Customer 012"/>
    <x v="3"/>
    <x v="1"/>
    <n v="68.399999999999991"/>
    <n v="28"/>
    <n v="40.399999999999991"/>
  </r>
  <r>
    <s v="O0114"/>
    <x v="96"/>
    <s v="C073"/>
    <s v="P010"/>
    <n v="4"/>
    <n v="0.1"/>
    <s v="USB-C Hub"/>
    <x v="0"/>
    <n v="40"/>
    <s v="Customer 073"/>
    <x v="5"/>
    <x v="0"/>
    <n v="144"/>
    <n v="76"/>
    <n v="68"/>
  </r>
  <r>
    <s v="O0115"/>
    <x v="49"/>
    <s v="C064"/>
    <s v="P006"/>
    <n v="2"/>
    <n v="0.15"/>
    <s v="Backpack"/>
    <x v="2"/>
    <n v="55"/>
    <s v="Customer 064"/>
    <x v="5"/>
    <x v="0"/>
    <n v="93.5"/>
    <n v="54"/>
    <n v="39.5"/>
  </r>
  <r>
    <s v="O0116"/>
    <x v="97"/>
    <s v="C046"/>
    <s v="P005"/>
    <n v="3"/>
    <n v="0.1"/>
    <s v="Water Bottle"/>
    <x v="2"/>
    <n v="18"/>
    <s v="Customer 046"/>
    <x v="3"/>
    <x v="0"/>
    <n v="48.6"/>
    <n v="21"/>
    <n v="27.6"/>
  </r>
  <r>
    <s v="O0117"/>
    <x v="98"/>
    <s v="C090"/>
    <s v="P005"/>
    <n v="5"/>
    <n v="0"/>
    <s v="Water Bottle"/>
    <x v="2"/>
    <n v="18"/>
    <s v="Customer 090"/>
    <x v="3"/>
    <x v="1"/>
    <n v="90"/>
    <n v="35"/>
    <n v="55"/>
  </r>
  <r>
    <s v="O0118"/>
    <x v="99"/>
    <s v="C025"/>
    <s v="P002"/>
    <n v="2"/>
    <n v="0.15"/>
    <s v="Wireless Mouse"/>
    <x v="0"/>
    <n v="25"/>
    <s v="Customer 025"/>
    <x v="0"/>
    <x v="2"/>
    <n v="42.5"/>
    <n v="24"/>
    <n v="18.5"/>
  </r>
  <r>
    <s v="O0119"/>
    <x v="100"/>
    <s v="C072"/>
    <s v="P004"/>
    <n v="4"/>
    <n v="0.15"/>
    <s v="Desk Lamp"/>
    <x v="1"/>
    <n v="30"/>
    <s v="Customer 072"/>
    <x v="1"/>
    <x v="1"/>
    <n v="102"/>
    <n v="60"/>
    <n v="42"/>
  </r>
  <r>
    <s v="O0120"/>
    <x v="101"/>
    <s v="C003"/>
    <s v="P002"/>
    <n v="3"/>
    <n v="0.05"/>
    <s v="Wireless Mouse"/>
    <x v="0"/>
    <n v="25"/>
    <s v="Customer 003"/>
    <x v="0"/>
    <x v="1"/>
    <n v="71.25"/>
    <n v="36"/>
    <n v="35.25"/>
  </r>
  <r>
    <s v="O0121"/>
    <x v="58"/>
    <s v="C089"/>
    <s v="P004"/>
    <n v="3"/>
    <n v="0.1"/>
    <s v="Desk Lamp"/>
    <x v="1"/>
    <n v="30"/>
    <s v="Customer 089"/>
    <x v="3"/>
    <x v="1"/>
    <n v="81"/>
    <n v="45"/>
    <n v="36"/>
  </r>
  <r>
    <s v="O0122"/>
    <x v="85"/>
    <s v="C071"/>
    <s v="P009"/>
    <n v="3"/>
    <n v="0.15"/>
    <s v="Office Chair"/>
    <x v="1"/>
    <n v="180"/>
    <s v="Customer 071"/>
    <x v="2"/>
    <x v="1"/>
    <n v="459"/>
    <n v="315"/>
    <n v="144"/>
  </r>
  <r>
    <s v="O0123"/>
    <x v="16"/>
    <s v="C043"/>
    <s v="P006"/>
    <n v="4"/>
    <n v="0.1"/>
    <s v="Backpack"/>
    <x v="2"/>
    <n v="55"/>
    <s v="Customer 043"/>
    <x v="4"/>
    <x v="2"/>
    <n v="198"/>
    <n v="108"/>
    <n v="90"/>
  </r>
  <r>
    <s v="O0124"/>
    <x v="46"/>
    <s v="C033"/>
    <s v="P004"/>
    <n v="1"/>
    <n v="0.05"/>
    <s v="Desk Lamp"/>
    <x v="1"/>
    <n v="30"/>
    <s v="Customer 033"/>
    <x v="3"/>
    <x v="1"/>
    <n v="28.5"/>
    <n v="15"/>
    <n v="13.5"/>
  </r>
  <r>
    <s v="O0125"/>
    <x v="102"/>
    <s v="C016"/>
    <s v="P009"/>
    <n v="2"/>
    <n v="0.05"/>
    <s v="Office Chair"/>
    <x v="1"/>
    <n v="180"/>
    <s v="Customer 016"/>
    <x v="2"/>
    <x v="1"/>
    <n v="342"/>
    <n v="210"/>
    <n v="132"/>
  </r>
  <r>
    <s v="O0126"/>
    <x v="103"/>
    <s v="C095"/>
    <s v="P008"/>
    <n v="3"/>
    <n v="0.1"/>
    <s v="Notebook Pack"/>
    <x v="3"/>
    <n v="12"/>
    <s v="Customer 095"/>
    <x v="5"/>
    <x v="0"/>
    <n v="32.4"/>
    <n v="15"/>
    <n v="17.399999999999999"/>
  </r>
  <r>
    <s v="O0127"/>
    <x v="104"/>
    <s v="C025"/>
    <s v="P005"/>
    <n v="2"/>
    <n v="0.1"/>
    <s v="Water Bottle"/>
    <x v="2"/>
    <n v="18"/>
    <s v="Customer 025"/>
    <x v="0"/>
    <x v="2"/>
    <n v="32.4"/>
    <n v="14"/>
    <n v="18.399999999999999"/>
  </r>
  <r>
    <s v="O0128"/>
    <x v="43"/>
    <s v="C039"/>
    <s v="P001"/>
    <n v="5"/>
    <n v="0.05"/>
    <s v="Laptop Stand"/>
    <x v="1"/>
    <n v="35"/>
    <s v="Customer 039"/>
    <x v="0"/>
    <x v="2"/>
    <n v="166.25"/>
    <n v="100"/>
    <n v="66.25"/>
  </r>
  <r>
    <s v="O0129"/>
    <x v="105"/>
    <s v="C006"/>
    <s v="P001"/>
    <n v="5"/>
    <n v="0.1"/>
    <s v="Laptop Stand"/>
    <x v="1"/>
    <n v="35"/>
    <s v="Customer 006"/>
    <x v="4"/>
    <x v="0"/>
    <n v="157.5"/>
    <n v="100"/>
    <n v="57.5"/>
  </r>
  <r>
    <s v="O0130"/>
    <x v="106"/>
    <s v="C017"/>
    <s v="P008"/>
    <n v="1"/>
    <n v="0"/>
    <s v="Notebook Pack"/>
    <x v="3"/>
    <n v="12"/>
    <s v="Customer 017"/>
    <x v="2"/>
    <x v="0"/>
    <n v="12"/>
    <n v="5"/>
    <n v="7"/>
  </r>
  <r>
    <s v="O0131"/>
    <x v="107"/>
    <s v="C037"/>
    <s v="P008"/>
    <n v="4"/>
    <n v="0.15"/>
    <s v="Notebook Pack"/>
    <x v="3"/>
    <n v="12"/>
    <s v="Customer 037"/>
    <x v="1"/>
    <x v="1"/>
    <n v="40.799999999999997"/>
    <n v="20"/>
    <n v="20.799999999999997"/>
  </r>
  <r>
    <s v="O0132"/>
    <x v="108"/>
    <s v="C024"/>
    <s v="P001"/>
    <n v="3"/>
    <n v="0.15"/>
    <s v="Laptop Stand"/>
    <x v="1"/>
    <n v="35"/>
    <s v="Customer 024"/>
    <x v="2"/>
    <x v="1"/>
    <n v="89.25"/>
    <n v="60"/>
    <n v="29.25"/>
  </r>
  <r>
    <s v="O0133"/>
    <x v="109"/>
    <s v="C009"/>
    <s v="P007"/>
    <n v="4"/>
    <n v="0"/>
    <s v="Headphones"/>
    <x v="0"/>
    <n v="75"/>
    <s v="Customer 009"/>
    <x v="1"/>
    <x v="1"/>
    <n v="300"/>
    <n v="160"/>
    <n v="140"/>
  </r>
  <r>
    <s v="O0134"/>
    <x v="110"/>
    <s v="C081"/>
    <s v="P001"/>
    <n v="2"/>
    <n v="0.05"/>
    <s v="Laptop Stand"/>
    <x v="1"/>
    <n v="35"/>
    <s v="Customer 081"/>
    <x v="4"/>
    <x v="1"/>
    <n v="66.5"/>
    <n v="40"/>
    <n v="26.5"/>
  </r>
  <r>
    <s v="O0135"/>
    <x v="111"/>
    <s v="C039"/>
    <s v="P002"/>
    <n v="2"/>
    <n v="0"/>
    <s v="Wireless Mouse"/>
    <x v="0"/>
    <n v="25"/>
    <s v="Customer 039"/>
    <x v="0"/>
    <x v="2"/>
    <n v="50"/>
    <n v="24"/>
    <n v="26"/>
  </r>
  <r>
    <s v="O0136"/>
    <x v="112"/>
    <s v="C098"/>
    <s v="P007"/>
    <n v="5"/>
    <n v="0.05"/>
    <s v="Headphones"/>
    <x v="0"/>
    <n v="75"/>
    <s v="Customer 098"/>
    <x v="2"/>
    <x v="1"/>
    <n v="356.25"/>
    <n v="200"/>
    <n v="156.25"/>
  </r>
  <r>
    <s v="O0137"/>
    <x v="113"/>
    <s v="C049"/>
    <s v="P008"/>
    <n v="4"/>
    <n v="0.1"/>
    <s v="Notebook Pack"/>
    <x v="3"/>
    <n v="12"/>
    <s v="Customer 049"/>
    <x v="5"/>
    <x v="2"/>
    <n v="43.2"/>
    <n v="20"/>
    <n v="23.200000000000003"/>
  </r>
  <r>
    <s v="O0138"/>
    <x v="114"/>
    <s v="C055"/>
    <s v="P005"/>
    <n v="5"/>
    <n v="0"/>
    <s v="Water Bottle"/>
    <x v="2"/>
    <n v="18"/>
    <s v="Customer 055"/>
    <x v="1"/>
    <x v="2"/>
    <n v="90"/>
    <n v="35"/>
    <n v="55"/>
  </r>
  <r>
    <s v="O0139"/>
    <x v="115"/>
    <s v="C095"/>
    <s v="P002"/>
    <n v="2"/>
    <n v="0.05"/>
    <s v="Wireless Mouse"/>
    <x v="0"/>
    <n v="25"/>
    <s v="Customer 095"/>
    <x v="5"/>
    <x v="0"/>
    <n v="47.5"/>
    <n v="24"/>
    <n v="23.5"/>
  </r>
  <r>
    <s v="O0140"/>
    <x v="116"/>
    <s v="C085"/>
    <s v="P002"/>
    <n v="2"/>
    <n v="0.05"/>
    <s v="Wireless Mouse"/>
    <x v="0"/>
    <n v="25"/>
    <s v="Customer 085"/>
    <x v="0"/>
    <x v="2"/>
    <n v="47.5"/>
    <n v="24"/>
    <n v="23.5"/>
  </r>
  <r>
    <s v="O0141"/>
    <x v="117"/>
    <s v="C071"/>
    <s v="P002"/>
    <n v="2"/>
    <n v="0"/>
    <s v="Wireless Mouse"/>
    <x v="0"/>
    <n v="25"/>
    <s v="Customer 071"/>
    <x v="2"/>
    <x v="1"/>
    <n v="50"/>
    <n v="24"/>
    <n v="26"/>
  </r>
  <r>
    <s v="O0142"/>
    <x v="118"/>
    <s v="C058"/>
    <s v="P010"/>
    <n v="4"/>
    <n v="0.1"/>
    <s v="USB-C Hub"/>
    <x v="0"/>
    <n v="40"/>
    <s v="Customer 058"/>
    <x v="3"/>
    <x v="0"/>
    <n v="144"/>
    <n v="76"/>
    <n v="68"/>
  </r>
  <r>
    <s v="O0143"/>
    <x v="8"/>
    <s v="C030"/>
    <s v="P005"/>
    <n v="3"/>
    <n v="0.15"/>
    <s v="Water Bottle"/>
    <x v="2"/>
    <n v="18"/>
    <s v="Customer 030"/>
    <x v="1"/>
    <x v="0"/>
    <n v="45.9"/>
    <n v="21"/>
    <n v="24.9"/>
  </r>
  <r>
    <s v="O0144"/>
    <x v="119"/>
    <s v="C088"/>
    <s v="P004"/>
    <n v="3"/>
    <n v="0.05"/>
    <s v="Desk Lamp"/>
    <x v="1"/>
    <n v="30"/>
    <s v="Customer 088"/>
    <x v="4"/>
    <x v="2"/>
    <n v="85.5"/>
    <n v="45"/>
    <n v="40.5"/>
  </r>
  <r>
    <s v="O0145"/>
    <x v="65"/>
    <s v="C015"/>
    <s v="P009"/>
    <n v="2"/>
    <n v="0.05"/>
    <s v="Office Chair"/>
    <x v="1"/>
    <n v="180"/>
    <s v="Customer 015"/>
    <x v="4"/>
    <x v="0"/>
    <n v="342"/>
    <n v="210"/>
    <n v="132"/>
  </r>
  <r>
    <s v="O0146"/>
    <x v="44"/>
    <s v="C019"/>
    <s v="P002"/>
    <n v="1"/>
    <n v="0.05"/>
    <s v="Wireless Mouse"/>
    <x v="0"/>
    <n v="25"/>
    <s v="Customer 019"/>
    <x v="5"/>
    <x v="0"/>
    <n v="23.75"/>
    <n v="12"/>
    <n v="11.75"/>
  </r>
  <r>
    <s v="O0147"/>
    <x v="120"/>
    <s v="C077"/>
    <s v="P010"/>
    <n v="3"/>
    <n v="0.15"/>
    <s v="USB-C Hub"/>
    <x v="0"/>
    <n v="40"/>
    <s v="Customer 077"/>
    <x v="2"/>
    <x v="0"/>
    <n v="102"/>
    <n v="57"/>
    <n v="45"/>
  </r>
  <r>
    <s v="O0148"/>
    <x v="121"/>
    <s v="C060"/>
    <s v="P005"/>
    <n v="4"/>
    <n v="0.1"/>
    <s v="Water Bottle"/>
    <x v="2"/>
    <n v="18"/>
    <s v="Customer 060"/>
    <x v="4"/>
    <x v="2"/>
    <n v="64.8"/>
    <n v="28"/>
    <n v="36.799999999999997"/>
  </r>
  <r>
    <s v="O0149"/>
    <x v="122"/>
    <s v="C070"/>
    <s v="P008"/>
    <n v="4"/>
    <n v="0"/>
    <s v="Notebook Pack"/>
    <x v="3"/>
    <n v="12"/>
    <s v="Customer 070"/>
    <x v="5"/>
    <x v="0"/>
    <n v="48"/>
    <n v="20"/>
    <n v="28"/>
  </r>
  <r>
    <s v="O0150"/>
    <x v="123"/>
    <s v="C006"/>
    <s v="P007"/>
    <n v="3"/>
    <n v="0.1"/>
    <s v="Headphones"/>
    <x v="0"/>
    <n v="75"/>
    <s v="Customer 006"/>
    <x v="4"/>
    <x v="0"/>
    <n v="202.5"/>
    <n v="120"/>
    <n v="82.5"/>
  </r>
  <r>
    <s v="O0151"/>
    <x v="124"/>
    <s v="C012"/>
    <s v="P004"/>
    <n v="5"/>
    <n v="0"/>
    <s v="Desk Lamp"/>
    <x v="1"/>
    <n v="30"/>
    <s v="Customer 012"/>
    <x v="3"/>
    <x v="1"/>
    <n v="150"/>
    <n v="75"/>
    <n v="75"/>
  </r>
  <r>
    <s v="O0152"/>
    <x v="13"/>
    <s v="C035"/>
    <s v="P010"/>
    <n v="1"/>
    <n v="0.05"/>
    <s v="USB-C Hub"/>
    <x v="0"/>
    <n v="40"/>
    <s v="Customer 035"/>
    <x v="1"/>
    <x v="0"/>
    <n v="38"/>
    <n v="19"/>
    <n v="19"/>
  </r>
  <r>
    <s v="O0153"/>
    <x v="45"/>
    <s v="C067"/>
    <s v="P008"/>
    <n v="3"/>
    <n v="0.05"/>
    <s v="Notebook Pack"/>
    <x v="3"/>
    <n v="12"/>
    <s v="Customer 067"/>
    <x v="3"/>
    <x v="2"/>
    <n v="34.199999999999996"/>
    <n v="15"/>
    <n v="19.199999999999996"/>
  </r>
  <r>
    <s v="O0154"/>
    <x v="76"/>
    <s v="C056"/>
    <s v="P008"/>
    <n v="1"/>
    <n v="0.15"/>
    <s v="Notebook Pack"/>
    <x v="3"/>
    <n v="12"/>
    <s v="Customer 056"/>
    <x v="2"/>
    <x v="2"/>
    <n v="10.199999999999999"/>
    <n v="5"/>
    <n v="5.1999999999999993"/>
  </r>
  <r>
    <s v="O0155"/>
    <x v="125"/>
    <s v="C053"/>
    <s v="P006"/>
    <n v="3"/>
    <n v="0"/>
    <s v="Backpack"/>
    <x v="2"/>
    <n v="55"/>
    <s v="Customer 053"/>
    <x v="4"/>
    <x v="2"/>
    <n v="165"/>
    <n v="81"/>
    <n v="84"/>
  </r>
  <r>
    <s v="O0156"/>
    <x v="37"/>
    <s v="C043"/>
    <s v="P007"/>
    <n v="4"/>
    <n v="0.1"/>
    <s v="Headphones"/>
    <x v="0"/>
    <n v="75"/>
    <s v="Customer 043"/>
    <x v="4"/>
    <x v="2"/>
    <n v="270"/>
    <n v="160"/>
    <n v="110"/>
  </r>
  <r>
    <s v="O0157"/>
    <x v="31"/>
    <s v="C052"/>
    <s v="P009"/>
    <n v="1"/>
    <n v="0.15"/>
    <s v="Office Chair"/>
    <x v="1"/>
    <n v="180"/>
    <s v="Customer 052"/>
    <x v="3"/>
    <x v="1"/>
    <n v="153"/>
    <n v="105"/>
    <n v="48"/>
  </r>
  <r>
    <s v="O0158"/>
    <x v="126"/>
    <s v="C041"/>
    <s v="P005"/>
    <n v="3"/>
    <n v="0"/>
    <s v="Water Bottle"/>
    <x v="2"/>
    <n v="18"/>
    <s v="Customer 041"/>
    <x v="5"/>
    <x v="2"/>
    <n v="54"/>
    <n v="21"/>
    <n v="33"/>
  </r>
  <r>
    <s v="O0159"/>
    <x v="127"/>
    <s v="C066"/>
    <s v="P001"/>
    <n v="5"/>
    <n v="0.15"/>
    <s v="Laptop Stand"/>
    <x v="1"/>
    <n v="35"/>
    <s v="Customer 066"/>
    <x v="0"/>
    <x v="0"/>
    <n v="148.75"/>
    <n v="100"/>
    <n v="48.75"/>
  </r>
  <r>
    <s v="O0160"/>
    <x v="128"/>
    <s v="C007"/>
    <s v="P004"/>
    <n v="5"/>
    <n v="0.1"/>
    <s v="Desk Lamp"/>
    <x v="1"/>
    <n v="30"/>
    <s v="Customer 007"/>
    <x v="3"/>
    <x v="1"/>
    <n v="135"/>
    <n v="75"/>
    <n v="60"/>
  </r>
  <r>
    <s v="O0161"/>
    <x v="129"/>
    <s v="C097"/>
    <s v="P008"/>
    <n v="4"/>
    <n v="0"/>
    <s v="Notebook Pack"/>
    <x v="3"/>
    <n v="12"/>
    <s v="Customer 097"/>
    <x v="3"/>
    <x v="2"/>
    <n v="48"/>
    <n v="20"/>
    <n v="28"/>
  </r>
  <r>
    <s v="O0162"/>
    <x v="130"/>
    <s v="C035"/>
    <s v="P009"/>
    <n v="2"/>
    <n v="0.1"/>
    <s v="Office Chair"/>
    <x v="1"/>
    <n v="180"/>
    <s v="Customer 035"/>
    <x v="1"/>
    <x v="0"/>
    <n v="324"/>
    <n v="210"/>
    <n v="114"/>
  </r>
  <r>
    <s v="O0163"/>
    <x v="131"/>
    <s v="C090"/>
    <s v="P008"/>
    <n v="1"/>
    <n v="0"/>
    <s v="Notebook Pack"/>
    <x v="3"/>
    <n v="12"/>
    <s v="Customer 090"/>
    <x v="3"/>
    <x v="1"/>
    <n v="12"/>
    <n v="5"/>
    <n v="7"/>
  </r>
  <r>
    <s v="O0164"/>
    <x v="64"/>
    <s v="C078"/>
    <s v="P004"/>
    <n v="2"/>
    <n v="0.1"/>
    <s v="Desk Lamp"/>
    <x v="1"/>
    <n v="30"/>
    <s v="Customer 078"/>
    <x v="2"/>
    <x v="0"/>
    <n v="54"/>
    <n v="30"/>
    <n v="24"/>
  </r>
  <r>
    <s v="O0165"/>
    <x v="132"/>
    <s v="C002"/>
    <s v="P009"/>
    <n v="4"/>
    <n v="0"/>
    <s v="Office Chair"/>
    <x v="1"/>
    <n v="180"/>
    <s v="Customer 002"/>
    <x v="1"/>
    <x v="0"/>
    <n v="720"/>
    <n v="420"/>
    <n v="300"/>
  </r>
  <r>
    <s v="O0166"/>
    <x v="133"/>
    <s v="C015"/>
    <s v="P008"/>
    <n v="1"/>
    <n v="0.05"/>
    <s v="Notebook Pack"/>
    <x v="3"/>
    <n v="12"/>
    <s v="Customer 015"/>
    <x v="4"/>
    <x v="0"/>
    <n v="11.399999999999999"/>
    <n v="5"/>
    <n v="6.3999999999999986"/>
  </r>
  <r>
    <s v="O0167"/>
    <x v="134"/>
    <s v="C092"/>
    <s v="P005"/>
    <n v="5"/>
    <n v="0.1"/>
    <s v="Water Bottle"/>
    <x v="2"/>
    <n v="18"/>
    <s v="Customer 092"/>
    <x v="4"/>
    <x v="0"/>
    <n v="81"/>
    <n v="35"/>
    <n v="46"/>
  </r>
  <r>
    <s v="O0168"/>
    <x v="75"/>
    <s v="C062"/>
    <s v="P008"/>
    <n v="2"/>
    <n v="0.15"/>
    <s v="Notebook Pack"/>
    <x v="3"/>
    <n v="12"/>
    <s v="Customer 062"/>
    <x v="2"/>
    <x v="1"/>
    <n v="20.399999999999999"/>
    <n v="10"/>
    <n v="10.399999999999999"/>
  </r>
  <r>
    <s v="O0169"/>
    <x v="132"/>
    <s v="C019"/>
    <s v="P007"/>
    <n v="2"/>
    <n v="0.05"/>
    <s v="Headphones"/>
    <x v="0"/>
    <n v="75"/>
    <s v="Customer 019"/>
    <x v="5"/>
    <x v="0"/>
    <n v="142.5"/>
    <n v="80"/>
    <n v="62.5"/>
  </r>
  <r>
    <s v="O0170"/>
    <x v="135"/>
    <s v="C036"/>
    <s v="P007"/>
    <n v="3"/>
    <n v="0.1"/>
    <s v="Headphones"/>
    <x v="0"/>
    <n v="75"/>
    <s v="Customer 036"/>
    <x v="5"/>
    <x v="2"/>
    <n v="202.5"/>
    <n v="120"/>
    <n v="82.5"/>
  </r>
  <r>
    <s v="O0171"/>
    <x v="136"/>
    <s v="C037"/>
    <s v="P005"/>
    <n v="5"/>
    <n v="0.15"/>
    <s v="Water Bottle"/>
    <x v="2"/>
    <n v="18"/>
    <s v="Customer 037"/>
    <x v="1"/>
    <x v="1"/>
    <n v="76.5"/>
    <n v="35"/>
    <n v="41.5"/>
  </r>
  <r>
    <s v="O0172"/>
    <x v="137"/>
    <s v="C058"/>
    <s v="P009"/>
    <n v="4"/>
    <n v="0.1"/>
    <s v="Office Chair"/>
    <x v="1"/>
    <n v="180"/>
    <s v="Customer 058"/>
    <x v="3"/>
    <x v="0"/>
    <n v="648"/>
    <n v="420"/>
    <n v="228"/>
  </r>
  <r>
    <s v="O0173"/>
    <x v="138"/>
    <s v="C071"/>
    <s v="P009"/>
    <n v="4"/>
    <n v="0.15"/>
    <s v="Office Chair"/>
    <x v="1"/>
    <n v="180"/>
    <s v="Customer 071"/>
    <x v="2"/>
    <x v="1"/>
    <n v="612"/>
    <n v="420"/>
    <n v="192"/>
  </r>
  <r>
    <s v="O0174"/>
    <x v="139"/>
    <s v="C025"/>
    <s v="P004"/>
    <n v="5"/>
    <n v="0.15"/>
    <s v="Desk Lamp"/>
    <x v="1"/>
    <n v="30"/>
    <s v="Customer 025"/>
    <x v="0"/>
    <x v="2"/>
    <n v="127.5"/>
    <n v="75"/>
    <n v="52.5"/>
  </r>
  <r>
    <s v="O0175"/>
    <x v="140"/>
    <s v="C100"/>
    <s v="P007"/>
    <n v="1"/>
    <n v="0.1"/>
    <s v="Headphones"/>
    <x v="0"/>
    <n v="75"/>
    <s v="Customer 100"/>
    <x v="0"/>
    <x v="1"/>
    <n v="67.5"/>
    <n v="40"/>
    <n v="27.5"/>
  </r>
  <r>
    <s v="O0176"/>
    <x v="85"/>
    <s v="C091"/>
    <s v="P007"/>
    <n v="4"/>
    <n v="0.05"/>
    <s v="Headphones"/>
    <x v="0"/>
    <n v="75"/>
    <s v="Customer 091"/>
    <x v="4"/>
    <x v="2"/>
    <n v="285"/>
    <n v="160"/>
    <n v="125"/>
  </r>
  <r>
    <s v="O0177"/>
    <x v="141"/>
    <s v="C005"/>
    <s v="P003"/>
    <n v="5"/>
    <n v="0.1"/>
    <s v="Keyboard"/>
    <x v="0"/>
    <n v="45"/>
    <s v="Customer 005"/>
    <x v="4"/>
    <x v="1"/>
    <n v="202.5"/>
    <n v="110"/>
    <n v="92.5"/>
  </r>
  <r>
    <s v="O0178"/>
    <x v="104"/>
    <s v="C057"/>
    <s v="P002"/>
    <n v="5"/>
    <n v="0.15"/>
    <s v="Wireless Mouse"/>
    <x v="0"/>
    <n v="25"/>
    <s v="Customer 057"/>
    <x v="1"/>
    <x v="1"/>
    <n v="106.25"/>
    <n v="60"/>
    <n v="46.25"/>
  </r>
  <r>
    <s v="O0179"/>
    <x v="142"/>
    <s v="C093"/>
    <s v="P003"/>
    <n v="4"/>
    <n v="0.05"/>
    <s v="Keyboard"/>
    <x v="0"/>
    <n v="45"/>
    <s v="Customer 093"/>
    <x v="3"/>
    <x v="1"/>
    <n v="171"/>
    <n v="88"/>
    <n v="83"/>
  </r>
  <r>
    <s v="O0180"/>
    <x v="143"/>
    <s v="C061"/>
    <s v="P005"/>
    <n v="3"/>
    <n v="0.15"/>
    <s v="Water Bottle"/>
    <x v="2"/>
    <n v="18"/>
    <s v="Customer 061"/>
    <x v="2"/>
    <x v="0"/>
    <n v="45.9"/>
    <n v="21"/>
    <n v="24.9"/>
  </r>
  <r>
    <s v="O0181"/>
    <x v="144"/>
    <s v="C011"/>
    <s v="P006"/>
    <n v="5"/>
    <n v="0.15"/>
    <s v="Backpack"/>
    <x v="2"/>
    <n v="55"/>
    <s v="Customer 011"/>
    <x v="5"/>
    <x v="0"/>
    <n v="233.75"/>
    <n v="135"/>
    <n v="98.75"/>
  </r>
  <r>
    <s v="O0182"/>
    <x v="145"/>
    <s v="C081"/>
    <s v="P008"/>
    <n v="5"/>
    <n v="0"/>
    <s v="Notebook Pack"/>
    <x v="3"/>
    <n v="12"/>
    <s v="Customer 081"/>
    <x v="4"/>
    <x v="1"/>
    <n v="60"/>
    <n v="25"/>
    <n v="35"/>
  </r>
  <r>
    <s v="O0183"/>
    <x v="146"/>
    <s v="C009"/>
    <s v="P004"/>
    <n v="3"/>
    <n v="0.05"/>
    <s v="Desk Lamp"/>
    <x v="1"/>
    <n v="30"/>
    <s v="Customer 009"/>
    <x v="1"/>
    <x v="1"/>
    <n v="85.5"/>
    <n v="45"/>
    <n v="40.5"/>
  </r>
  <r>
    <s v="O0184"/>
    <x v="147"/>
    <s v="C056"/>
    <s v="P002"/>
    <n v="1"/>
    <n v="0.15"/>
    <s v="Wireless Mouse"/>
    <x v="0"/>
    <n v="25"/>
    <s v="Customer 056"/>
    <x v="2"/>
    <x v="2"/>
    <n v="21.25"/>
    <n v="12"/>
    <n v="9.25"/>
  </r>
  <r>
    <s v="O0185"/>
    <x v="148"/>
    <s v="C089"/>
    <s v="P005"/>
    <n v="1"/>
    <n v="0"/>
    <s v="Water Bottle"/>
    <x v="2"/>
    <n v="18"/>
    <s v="Customer 089"/>
    <x v="3"/>
    <x v="1"/>
    <n v="18"/>
    <n v="7"/>
    <n v="11"/>
  </r>
  <r>
    <s v="O0186"/>
    <x v="149"/>
    <s v="C008"/>
    <s v="P005"/>
    <n v="3"/>
    <n v="0.1"/>
    <s v="Water Bottle"/>
    <x v="2"/>
    <n v="18"/>
    <s v="Customer 008"/>
    <x v="3"/>
    <x v="2"/>
    <n v="48.6"/>
    <n v="21"/>
    <n v="27.6"/>
  </r>
  <r>
    <s v="O0187"/>
    <x v="40"/>
    <s v="C019"/>
    <s v="P004"/>
    <n v="5"/>
    <n v="0.15"/>
    <s v="Desk Lamp"/>
    <x v="1"/>
    <n v="30"/>
    <s v="Customer 019"/>
    <x v="5"/>
    <x v="0"/>
    <n v="127.5"/>
    <n v="75"/>
    <n v="52.5"/>
  </r>
  <r>
    <s v="O0188"/>
    <x v="90"/>
    <s v="C088"/>
    <s v="P003"/>
    <n v="2"/>
    <n v="0.05"/>
    <s v="Keyboard"/>
    <x v="0"/>
    <n v="45"/>
    <s v="Customer 088"/>
    <x v="4"/>
    <x v="2"/>
    <n v="85.5"/>
    <n v="44"/>
    <n v="41.5"/>
  </r>
  <r>
    <s v="O0189"/>
    <x v="150"/>
    <s v="C079"/>
    <s v="P007"/>
    <n v="5"/>
    <n v="0.05"/>
    <s v="Headphones"/>
    <x v="0"/>
    <n v="75"/>
    <s v="Customer 079"/>
    <x v="0"/>
    <x v="0"/>
    <n v="356.25"/>
    <n v="200"/>
    <n v="156.25"/>
  </r>
  <r>
    <s v="O0190"/>
    <x v="151"/>
    <s v="C075"/>
    <s v="P003"/>
    <n v="2"/>
    <n v="0.15"/>
    <s v="Keyboard"/>
    <x v="0"/>
    <n v="45"/>
    <s v="Customer 075"/>
    <x v="2"/>
    <x v="0"/>
    <n v="76.5"/>
    <n v="44"/>
    <n v="32.5"/>
  </r>
  <r>
    <s v="O0191"/>
    <x v="152"/>
    <s v="C033"/>
    <s v="P008"/>
    <n v="3"/>
    <n v="0"/>
    <s v="Notebook Pack"/>
    <x v="3"/>
    <n v="12"/>
    <s v="Customer 033"/>
    <x v="3"/>
    <x v="1"/>
    <n v="36"/>
    <n v="15"/>
    <n v="21"/>
  </r>
  <r>
    <s v="O0192"/>
    <x v="60"/>
    <s v="C037"/>
    <s v="P009"/>
    <n v="2"/>
    <n v="0"/>
    <s v="Office Chair"/>
    <x v="1"/>
    <n v="180"/>
    <s v="Customer 037"/>
    <x v="1"/>
    <x v="1"/>
    <n v="360"/>
    <n v="210"/>
    <n v="150"/>
  </r>
  <r>
    <s v="O0193"/>
    <x v="68"/>
    <s v="C045"/>
    <s v="P010"/>
    <n v="3"/>
    <n v="0.15"/>
    <s v="USB-C Hub"/>
    <x v="0"/>
    <n v="40"/>
    <s v="Customer 045"/>
    <x v="4"/>
    <x v="1"/>
    <n v="102"/>
    <n v="57"/>
    <n v="45"/>
  </r>
  <r>
    <s v="O0194"/>
    <x v="153"/>
    <s v="C033"/>
    <s v="P008"/>
    <n v="3"/>
    <n v="0.05"/>
    <s v="Notebook Pack"/>
    <x v="3"/>
    <n v="12"/>
    <s v="Customer 033"/>
    <x v="3"/>
    <x v="1"/>
    <n v="34.199999999999996"/>
    <n v="15"/>
    <n v="19.199999999999996"/>
  </r>
  <r>
    <s v="O0195"/>
    <x v="74"/>
    <s v="C062"/>
    <s v="P002"/>
    <n v="2"/>
    <n v="0.15"/>
    <s v="Wireless Mouse"/>
    <x v="0"/>
    <n v="25"/>
    <s v="Customer 062"/>
    <x v="2"/>
    <x v="1"/>
    <n v="42.5"/>
    <n v="24"/>
    <n v="18.5"/>
  </r>
  <r>
    <s v="O0196"/>
    <x v="10"/>
    <s v="C046"/>
    <s v="P010"/>
    <n v="3"/>
    <n v="0.1"/>
    <s v="USB-C Hub"/>
    <x v="0"/>
    <n v="40"/>
    <s v="Customer 046"/>
    <x v="3"/>
    <x v="0"/>
    <n v="108"/>
    <n v="57"/>
    <n v="51"/>
  </r>
  <r>
    <s v="O0197"/>
    <x v="154"/>
    <s v="C085"/>
    <s v="P007"/>
    <n v="3"/>
    <n v="0"/>
    <s v="Headphones"/>
    <x v="0"/>
    <n v="75"/>
    <s v="Customer 085"/>
    <x v="0"/>
    <x v="2"/>
    <n v="225"/>
    <n v="120"/>
    <n v="105"/>
  </r>
  <r>
    <s v="O0198"/>
    <x v="90"/>
    <s v="C088"/>
    <s v="P001"/>
    <n v="5"/>
    <n v="0.15"/>
    <s v="Laptop Stand"/>
    <x v="1"/>
    <n v="35"/>
    <s v="Customer 088"/>
    <x v="4"/>
    <x v="2"/>
    <n v="148.75"/>
    <n v="100"/>
    <n v="48.75"/>
  </r>
  <r>
    <s v="O0199"/>
    <x v="72"/>
    <s v="C100"/>
    <s v="P004"/>
    <n v="5"/>
    <n v="0.1"/>
    <s v="Desk Lamp"/>
    <x v="1"/>
    <n v="30"/>
    <s v="Customer 100"/>
    <x v="0"/>
    <x v="1"/>
    <n v="135"/>
    <n v="75"/>
    <n v="60"/>
  </r>
  <r>
    <s v="O0200"/>
    <x v="155"/>
    <s v="C082"/>
    <s v="P004"/>
    <n v="5"/>
    <n v="0.1"/>
    <s v="Desk Lamp"/>
    <x v="1"/>
    <n v="30"/>
    <s v="Customer 082"/>
    <x v="4"/>
    <x v="0"/>
    <n v="135"/>
    <n v="75"/>
    <n v="60"/>
  </r>
  <r>
    <s v="O0201"/>
    <x v="156"/>
    <s v="C097"/>
    <s v="P003"/>
    <n v="1"/>
    <n v="0"/>
    <s v="Keyboard"/>
    <x v="0"/>
    <n v="45"/>
    <s v="Customer 097"/>
    <x v="3"/>
    <x v="2"/>
    <n v="45"/>
    <n v="22"/>
    <n v="23"/>
  </r>
  <r>
    <s v="O0202"/>
    <x v="157"/>
    <s v="C057"/>
    <s v="P001"/>
    <n v="5"/>
    <n v="0.1"/>
    <s v="Laptop Stand"/>
    <x v="1"/>
    <n v="35"/>
    <s v="Customer 057"/>
    <x v="1"/>
    <x v="1"/>
    <n v="157.5"/>
    <n v="100"/>
    <n v="57.5"/>
  </r>
  <r>
    <s v="O0203"/>
    <x v="28"/>
    <s v="C012"/>
    <s v="P005"/>
    <n v="3"/>
    <n v="0.15"/>
    <s v="Water Bottle"/>
    <x v="2"/>
    <n v="18"/>
    <s v="Customer 012"/>
    <x v="3"/>
    <x v="1"/>
    <n v="45.9"/>
    <n v="21"/>
    <n v="24.9"/>
  </r>
  <r>
    <s v="O0204"/>
    <x v="158"/>
    <s v="C026"/>
    <s v="P003"/>
    <n v="5"/>
    <n v="0.1"/>
    <s v="Keyboard"/>
    <x v="0"/>
    <n v="45"/>
    <s v="Customer 026"/>
    <x v="3"/>
    <x v="2"/>
    <n v="202.5"/>
    <n v="110"/>
    <n v="92.5"/>
  </r>
  <r>
    <s v="O0205"/>
    <x v="159"/>
    <s v="C065"/>
    <s v="P005"/>
    <n v="2"/>
    <n v="0.1"/>
    <s v="Water Bottle"/>
    <x v="2"/>
    <n v="18"/>
    <s v="Customer 065"/>
    <x v="3"/>
    <x v="0"/>
    <n v="32.4"/>
    <n v="14"/>
    <n v="18.399999999999999"/>
  </r>
  <r>
    <s v="O0206"/>
    <x v="160"/>
    <s v="C038"/>
    <s v="P006"/>
    <n v="1"/>
    <n v="0.15"/>
    <s v="Backpack"/>
    <x v="2"/>
    <n v="55"/>
    <s v="Customer 038"/>
    <x v="1"/>
    <x v="2"/>
    <n v="46.75"/>
    <n v="27"/>
    <n v="19.75"/>
  </r>
  <r>
    <s v="O0207"/>
    <x v="143"/>
    <s v="C019"/>
    <s v="P004"/>
    <n v="4"/>
    <n v="0.1"/>
    <s v="Desk Lamp"/>
    <x v="1"/>
    <n v="30"/>
    <s v="Customer 019"/>
    <x v="5"/>
    <x v="0"/>
    <n v="108"/>
    <n v="60"/>
    <n v="48"/>
  </r>
  <r>
    <s v="O0208"/>
    <x v="147"/>
    <s v="C051"/>
    <s v="P001"/>
    <n v="3"/>
    <n v="0"/>
    <s v="Laptop Stand"/>
    <x v="1"/>
    <n v="35"/>
    <s v="Customer 051"/>
    <x v="4"/>
    <x v="0"/>
    <n v="105"/>
    <n v="60"/>
    <n v="45"/>
  </r>
  <r>
    <s v="O0209"/>
    <x v="19"/>
    <s v="C048"/>
    <s v="P005"/>
    <n v="5"/>
    <n v="0.15"/>
    <s v="Water Bottle"/>
    <x v="2"/>
    <n v="18"/>
    <s v="Customer 048"/>
    <x v="4"/>
    <x v="1"/>
    <n v="76.5"/>
    <n v="35"/>
    <n v="41.5"/>
  </r>
  <r>
    <s v="O0210"/>
    <x v="152"/>
    <s v="C048"/>
    <s v="P002"/>
    <n v="2"/>
    <n v="0.15"/>
    <s v="Wireless Mouse"/>
    <x v="0"/>
    <n v="25"/>
    <s v="Customer 048"/>
    <x v="4"/>
    <x v="1"/>
    <n v="42.5"/>
    <n v="24"/>
    <n v="18.5"/>
  </r>
  <r>
    <s v="O0211"/>
    <x v="161"/>
    <s v="C080"/>
    <s v="P009"/>
    <n v="3"/>
    <n v="0.05"/>
    <s v="Office Chair"/>
    <x v="1"/>
    <n v="180"/>
    <s v="Customer 080"/>
    <x v="1"/>
    <x v="0"/>
    <n v="513"/>
    <n v="315"/>
    <n v="198"/>
  </r>
  <r>
    <s v="O0212"/>
    <x v="162"/>
    <s v="C009"/>
    <s v="P008"/>
    <n v="3"/>
    <n v="0.15"/>
    <s v="Notebook Pack"/>
    <x v="3"/>
    <n v="12"/>
    <s v="Customer 009"/>
    <x v="1"/>
    <x v="1"/>
    <n v="30.599999999999998"/>
    <n v="15"/>
    <n v="15.599999999999998"/>
  </r>
  <r>
    <s v="O0213"/>
    <x v="163"/>
    <s v="C018"/>
    <s v="P001"/>
    <n v="1"/>
    <n v="0.1"/>
    <s v="Laptop Stand"/>
    <x v="1"/>
    <n v="35"/>
    <s v="Customer 018"/>
    <x v="0"/>
    <x v="1"/>
    <n v="31.5"/>
    <n v="20"/>
    <n v="11.5"/>
  </r>
  <r>
    <s v="O0214"/>
    <x v="164"/>
    <s v="C015"/>
    <s v="P002"/>
    <n v="2"/>
    <n v="0.05"/>
    <s v="Wireless Mouse"/>
    <x v="0"/>
    <n v="25"/>
    <s v="Customer 015"/>
    <x v="4"/>
    <x v="0"/>
    <n v="47.5"/>
    <n v="24"/>
    <n v="23.5"/>
  </r>
  <r>
    <s v="O0215"/>
    <x v="165"/>
    <s v="C059"/>
    <s v="P006"/>
    <n v="5"/>
    <n v="0.15"/>
    <s v="Backpack"/>
    <x v="2"/>
    <n v="55"/>
    <s v="Customer 059"/>
    <x v="0"/>
    <x v="1"/>
    <n v="233.75"/>
    <n v="135"/>
    <n v="98.75"/>
  </r>
  <r>
    <s v="O0216"/>
    <x v="166"/>
    <s v="C096"/>
    <s v="P003"/>
    <n v="4"/>
    <n v="0"/>
    <s v="Keyboard"/>
    <x v="0"/>
    <n v="45"/>
    <s v="Customer 096"/>
    <x v="3"/>
    <x v="1"/>
    <n v="180"/>
    <n v="88"/>
    <n v="92"/>
  </r>
  <r>
    <s v="O0217"/>
    <x v="100"/>
    <s v="C079"/>
    <s v="P007"/>
    <n v="3"/>
    <n v="0"/>
    <s v="Headphones"/>
    <x v="0"/>
    <n v="75"/>
    <s v="Customer 079"/>
    <x v="0"/>
    <x v="0"/>
    <n v="225"/>
    <n v="120"/>
    <n v="105"/>
  </r>
  <r>
    <s v="O0218"/>
    <x v="153"/>
    <s v="C048"/>
    <s v="P004"/>
    <n v="4"/>
    <n v="0.15"/>
    <s v="Desk Lamp"/>
    <x v="1"/>
    <n v="30"/>
    <s v="Customer 048"/>
    <x v="4"/>
    <x v="1"/>
    <n v="102"/>
    <n v="60"/>
    <n v="42"/>
  </r>
  <r>
    <s v="O0219"/>
    <x v="167"/>
    <s v="C047"/>
    <s v="P002"/>
    <n v="3"/>
    <n v="0.1"/>
    <s v="Wireless Mouse"/>
    <x v="0"/>
    <n v="25"/>
    <s v="Customer 047"/>
    <x v="5"/>
    <x v="0"/>
    <n v="67.5"/>
    <n v="36"/>
    <n v="31.5"/>
  </r>
  <r>
    <s v="O0220"/>
    <x v="168"/>
    <s v="C051"/>
    <s v="P005"/>
    <n v="2"/>
    <n v="0"/>
    <s v="Water Bottle"/>
    <x v="2"/>
    <n v="18"/>
    <s v="Customer 051"/>
    <x v="4"/>
    <x v="0"/>
    <n v="36"/>
    <n v="14"/>
    <n v="22"/>
  </r>
  <r>
    <s v="O0221"/>
    <x v="19"/>
    <s v="C012"/>
    <s v="P004"/>
    <n v="5"/>
    <n v="0"/>
    <s v="Desk Lamp"/>
    <x v="1"/>
    <n v="30"/>
    <s v="Customer 012"/>
    <x v="3"/>
    <x v="1"/>
    <n v="150"/>
    <n v="75"/>
    <n v="75"/>
  </r>
  <r>
    <s v="O0222"/>
    <x v="66"/>
    <s v="C043"/>
    <s v="P004"/>
    <n v="2"/>
    <n v="0.05"/>
    <s v="Desk Lamp"/>
    <x v="1"/>
    <n v="30"/>
    <s v="Customer 043"/>
    <x v="4"/>
    <x v="2"/>
    <n v="57"/>
    <n v="30"/>
    <n v="27"/>
  </r>
  <r>
    <s v="O0223"/>
    <x v="135"/>
    <s v="C098"/>
    <s v="P009"/>
    <n v="2"/>
    <n v="0.05"/>
    <s v="Office Chair"/>
    <x v="1"/>
    <n v="180"/>
    <s v="Customer 098"/>
    <x v="2"/>
    <x v="1"/>
    <n v="342"/>
    <n v="210"/>
    <n v="132"/>
  </r>
  <r>
    <s v="O0224"/>
    <x v="140"/>
    <s v="C043"/>
    <s v="P003"/>
    <n v="5"/>
    <n v="0"/>
    <s v="Keyboard"/>
    <x v="0"/>
    <n v="45"/>
    <s v="Customer 043"/>
    <x v="4"/>
    <x v="2"/>
    <n v="225"/>
    <n v="110"/>
    <n v="115"/>
  </r>
  <r>
    <s v="O0225"/>
    <x v="169"/>
    <s v="C019"/>
    <s v="P003"/>
    <n v="5"/>
    <n v="0.1"/>
    <s v="Keyboard"/>
    <x v="0"/>
    <n v="45"/>
    <s v="Customer 019"/>
    <x v="5"/>
    <x v="0"/>
    <n v="202.5"/>
    <n v="110"/>
    <n v="92.5"/>
  </r>
  <r>
    <s v="O0226"/>
    <x v="158"/>
    <s v="C015"/>
    <s v="P001"/>
    <n v="2"/>
    <n v="0"/>
    <s v="Laptop Stand"/>
    <x v="1"/>
    <n v="35"/>
    <s v="Customer 015"/>
    <x v="4"/>
    <x v="0"/>
    <n v="70"/>
    <n v="40"/>
    <n v="30"/>
  </r>
  <r>
    <s v="O0227"/>
    <x v="170"/>
    <s v="C031"/>
    <s v="P010"/>
    <n v="3"/>
    <n v="0"/>
    <s v="USB-C Hub"/>
    <x v="0"/>
    <n v="40"/>
    <s v="Customer 031"/>
    <x v="0"/>
    <x v="0"/>
    <n v="120"/>
    <n v="57"/>
    <n v="63"/>
  </r>
  <r>
    <s v="O0228"/>
    <x v="158"/>
    <s v="C034"/>
    <s v="P001"/>
    <n v="2"/>
    <n v="0.15"/>
    <s v="Laptop Stand"/>
    <x v="1"/>
    <n v="35"/>
    <s v="Customer 034"/>
    <x v="4"/>
    <x v="1"/>
    <n v="59.5"/>
    <n v="40"/>
    <n v="19.5"/>
  </r>
  <r>
    <s v="O0229"/>
    <x v="171"/>
    <s v="C015"/>
    <s v="P002"/>
    <n v="4"/>
    <n v="0.15"/>
    <s v="Wireless Mouse"/>
    <x v="0"/>
    <n v="25"/>
    <s v="Customer 015"/>
    <x v="4"/>
    <x v="0"/>
    <n v="85"/>
    <n v="48"/>
    <n v="37"/>
  </r>
  <r>
    <s v="O0230"/>
    <x v="93"/>
    <s v="C066"/>
    <s v="P010"/>
    <n v="1"/>
    <n v="0.15"/>
    <s v="USB-C Hub"/>
    <x v="0"/>
    <n v="40"/>
    <s v="Customer 066"/>
    <x v="0"/>
    <x v="0"/>
    <n v="34"/>
    <n v="19"/>
    <n v="15"/>
  </r>
  <r>
    <s v="O0231"/>
    <x v="172"/>
    <s v="C029"/>
    <s v="P010"/>
    <n v="1"/>
    <n v="0.1"/>
    <s v="USB-C Hub"/>
    <x v="0"/>
    <n v="40"/>
    <s v="Customer 029"/>
    <x v="1"/>
    <x v="2"/>
    <n v="36"/>
    <n v="19"/>
    <n v="17"/>
  </r>
  <r>
    <s v="O0232"/>
    <x v="173"/>
    <s v="C083"/>
    <s v="P001"/>
    <n v="1"/>
    <n v="0.15"/>
    <s v="Laptop Stand"/>
    <x v="1"/>
    <n v="35"/>
    <s v="Customer 083"/>
    <x v="0"/>
    <x v="0"/>
    <n v="29.75"/>
    <n v="20"/>
    <n v="9.75"/>
  </r>
  <r>
    <s v="O0233"/>
    <x v="174"/>
    <s v="C055"/>
    <s v="P002"/>
    <n v="4"/>
    <n v="0.15"/>
    <s v="Wireless Mouse"/>
    <x v="0"/>
    <n v="25"/>
    <s v="Customer 055"/>
    <x v="1"/>
    <x v="2"/>
    <n v="85"/>
    <n v="48"/>
    <n v="37"/>
  </r>
  <r>
    <s v="O0234"/>
    <x v="27"/>
    <s v="C011"/>
    <s v="P006"/>
    <n v="5"/>
    <n v="0.05"/>
    <s v="Backpack"/>
    <x v="2"/>
    <n v="55"/>
    <s v="Customer 011"/>
    <x v="5"/>
    <x v="0"/>
    <n v="261.25"/>
    <n v="135"/>
    <n v="126.25"/>
  </r>
  <r>
    <s v="O0235"/>
    <x v="175"/>
    <s v="C017"/>
    <s v="P005"/>
    <n v="5"/>
    <n v="0.1"/>
    <s v="Water Bottle"/>
    <x v="2"/>
    <n v="18"/>
    <s v="Customer 017"/>
    <x v="2"/>
    <x v="0"/>
    <n v="81"/>
    <n v="35"/>
    <n v="46"/>
  </r>
  <r>
    <s v="O0236"/>
    <x v="176"/>
    <s v="C077"/>
    <s v="P009"/>
    <n v="3"/>
    <n v="0.15"/>
    <s v="Office Chair"/>
    <x v="1"/>
    <n v="180"/>
    <s v="Customer 077"/>
    <x v="2"/>
    <x v="0"/>
    <n v="459"/>
    <n v="315"/>
    <n v="144"/>
  </r>
  <r>
    <s v="O0237"/>
    <x v="177"/>
    <s v="C078"/>
    <s v="P007"/>
    <n v="1"/>
    <n v="0"/>
    <s v="Headphones"/>
    <x v="0"/>
    <n v="75"/>
    <s v="Customer 078"/>
    <x v="2"/>
    <x v="0"/>
    <n v="75"/>
    <n v="40"/>
    <n v="35"/>
  </r>
  <r>
    <s v="O0238"/>
    <x v="178"/>
    <s v="C084"/>
    <s v="P009"/>
    <n v="2"/>
    <n v="0.15"/>
    <s v="Office Chair"/>
    <x v="1"/>
    <n v="180"/>
    <s v="Customer 084"/>
    <x v="0"/>
    <x v="1"/>
    <n v="306"/>
    <n v="210"/>
    <n v="96"/>
  </r>
  <r>
    <s v="O0239"/>
    <x v="179"/>
    <s v="C030"/>
    <s v="P007"/>
    <n v="3"/>
    <n v="0.15"/>
    <s v="Headphones"/>
    <x v="0"/>
    <n v="75"/>
    <s v="Customer 030"/>
    <x v="1"/>
    <x v="0"/>
    <n v="191.25"/>
    <n v="120"/>
    <n v="71.25"/>
  </r>
  <r>
    <s v="O0240"/>
    <x v="47"/>
    <s v="C054"/>
    <s v="P002"/>
    <n v="3"/>
    <n v="0.15"/>
    <s v="Wireless Mouse"/>
    <x v="0"/>
    <n v="25"/>
    <s v="Customer 054"/>
    <x v="1"/>
    <x v="1"/>
    <n v="63.75"/>
    <n v="36"/>
    <n v="27.75"/>
  </r>
  <r>
    <s v="O0241"/>
    <x v="51"/>
    <s v="C086"/>
    <s v="P005"/>
    <n v="3"/>
    <n v="0.05"/>
    <s v="Water Bottle"/>
    <x v="2"/>
    <n v="18"/>
    <s v="Customer 086"/>
    <x v="5"/>
    <x v="2"/>
    <n v="51.3"/>
    <n v="21"/>
    <n v="30.299999999999997"/>
  </r>
  <r>
    <s v="O0242"/>
    <x v="34"/>
    <s v="C061"/>
    <s v="P002"/>
    <n v="1"/>
    <n v="0"/>
    <s v="Wireless Mouse"/>
    <x v="0"/>
    <n v="25"/>
    <s v="Customer 061"/>
    <x v="2"/>
    <x v="0"/>
    <n v="25"/>
    <n v="12"/>
    <n v="13"/>
  </r>
  <r>
    <s v="O0243"/>
    <x v="17"/>
    <s v="C056"/>
    <s v="P002"/>
    <n v="3"/>
    <n v="0.05"/>
    <s v="Wireless Mouse"/>
    <x v="0"/>
    <n v="25"/>
    <s v="Customer 056"/>
    <x v="2"/>
    <x v="2"/>
    <n v="71.25"/>
    <n v="36"/>
    <n v="35.25"/>
  </r>
  <r>
    <s v="O0244"/>
    <x v="180"/>
    <s v="C008"/>
    <s v="P010"/>
    <n v="5"/>
    <n v="0.1"/>
    <s v="USB-C Hub"/>
    <x v="0"/>
    <n v="40"/>
    <s v="Customer 008"/>
    <x v="3"/>
    <x v="2"/>
    <n v="180"/>
    <n v="95"/>
    <n v="85"/>
  </r>
  <r>
    <s v="O0245"/>
    <x v="181"/>
    <s v="C016"/>
    <s v="P007"/>
    <n v="3"/>
    <n v="0.15"/>
    <s v="Headphones"/>
    <x v="0"/>
    <n v="75"/>
    <s v="Customer 016"/>
    <x v="2"/>
    <x v="1"/>
    <n v="191.25"/>
    <n v="120"/>
    <n v="71.25"/>
  </r>
  <r>
    <s v="O0246"/>
    <x v="182"/>
    <s v="C037"/>
    <s v="P010"/>
    <n v="3"/>
    <n v="0.1"/>
    <s v="USB-C Hub"/>
    <x v="0"/>
    <n v="40"/>
    <s v="Customer 037"/>
    <x v="1"/>
    <x v="1"/>
    <n v="108"/>
    <n v="57"/>
    <n v="51"/>
  </r>
  <r>
    <s v="O0247"/>
    <x v="183"/>
    <s v="C074"/>
    <s v="P009"/>
    <n v="2"/>
    <n v="0.05"/>
    <s v="Office Chair"/>
    <x v="1"/>
    <n v="180"/>
    <s v="Customer 074"/>
    <x v="5"/>
    <x v="0"/>
    <n v="342"/>
    <n v="210"/>
    <n v="132"/>
  </r>
  <r>
    <s v="O0248"/>
    <x v="184"/>
    <s v="C062"/>
    <s v="P004"/>
    <n v="1"/>
    <n v="0.1"/>
    <s v="Desk Lamp"/>
    <x v="1"/>
    <n v="30"/>
    <s v="Customer 062"/>
    <x v="2"/>
    <x v="1"/>
    <n v="27"/>
    <n v="15"/>
    <n v="12"/>
  </r>
  <r>
    <s v="O0249"/>
    <x v="180"/>
    <s v="C048"/>
    <s v="P002"/>
    <n v="3"/>
    <n v="0.05"/>
    <s v="Wireless Mouse"/>
    <x v="0"/>
    <n v="25"/>
    <s v="Customer 048"/>
    <x v="4"/>
    <x v="1"/>
    <n v="71.25"/>
    <n v="36"/>
    <n v="35.25"/>
  </r>
  <r>
    <s v="O0250"/>
    <x v="185"/>
    <s v="C072"/>
    <s v="P010"/>
    <n v="5"/>
    <n v="0"/>
    <s v="USB-C Hub"/>
    <x v="0"/>
    <n v="40"/>
    <s v="Customer 072"/>
    <x v="1"/>
    <x v="1"/>
    <n v="200"/>
    <n v="95"/>
    <n v="105"/>
  </r>
  <r>
    <s v="O0251"/>
    <x v="186"/>
    <s v="C085"/>
    <s v="P005"/>
    <n v="1"/>
    <n v="0.05"/>
    <s v="Water Bottle"/>
    <x v="2"/>
    <n v="18"/>
    <s v="Customer 085"/>
    <x v="0"/>
    <x v="2"/>
    <n v="17.099999999999998"/>
    <n v="7"/>
    <n v="10.099999999999998"/>
  </r>
  <r>
    <s v="O0252"/>
    <x v="187"/>
    <s v="C090"/>
    <s v="P005"/>
    <n v="3"/>
    <n v="0.1"/>
    <s v="Water Bottle"/>
    <x v="2"/>
    <n v="18"/>
    <s v="Customer 090"/>
    <x v="3"/>
    <x v="1"/>
    <n v="48.6"/>
    <n v="21"/>
    <n v="27.6"/>
  </r>
  <r>
    <s v="O0253"/>
    <x v="7"/>
    <s v="C024"/>
    <s v="P003"/>
    <n v="5"/>
    <n v="0.15"/>
    <s v="Keyboard"/>
    <x v="0"/>
    <n v="45"/>
    <s v="Customer 024"/>
    <x v="2"/>
    <x v="1"/>
    <n v="191.25"/>
    <n v="110"/>
    <n v="81.25"/>
  </r>
  <r>
    <s v="O0254"/>
    <x v="135"/>
    <s v="C019"/>
    <s v="P001"/>
    <n v="1"/>
    <n v="0.05"/>
    <s v="Laptop Stand"/>
    <x v="1"/>
    <n v="35"/>
    <s v="Customer 019"/>
    <x v="5"/>
    <x v="0"/>
    <n v="33.25"/>
    <n v="20"/>
    <n v="13.25"/>
  </r>
  <r>
    <s v="O0255"/>
    <x v="188"/>
    <s v="C054"/>
    <s v="P008"/>
    <n v="3"/>
    <n v="0.05"/>
    <s v="Notebook Pack"/>
    <x v="3"/>
    <n v="12"/>
    <s v="Customer 054"/>
    <x v="1"/>
    <x v="1"/>
    <n v="34.199999999999996"/>
    <n v="15"/>
    <n v="19.199999999999996"/>
  </r>
  <r>
    <s v="O0256"/>
    <x v="189"/>
    <s v="C040"/>
    <s v="P006"/>
    <n v="5"/>
    <n v="0"/>
    <s v="Backpack"/>
    <x v="2"/>
    <n v="55"/>
    <s v="Customer 040"/>
    <x v="4"/>
    <x v="2"/>
    <n v="275"/>
    <n v="135"/>
    <n v="140"/>
  </r>
  <r>
    <s v="O0257"/>
    <x v="182"/>
    <s v="C020"/>
    <s v="P003"/>
    <n v="5"/>
    <n v="0"/>
    <s v="Keyboard"/>
    <x v="0"/>
    <n v="45"/>
    <s v="Customer 020"/>
    <x v="2"/>
    <x v="2"/>
    <n v="225"/>
    <n v="110"/>
    <n v="115"/>
  </r>
  <r>
    <s v="O0258"/>
    <x v="190"/>
    <s v="C011"/>
    <s v="P005"/>
    <n v="4"/>
    <n v="0.15"/>
    <s v="Water Bottle"/>
    <x v="2"/>
    <n v="18"/>
    <s v="Customer 011"/>
    <x v="5"/>
    <x v="0"/>
    <n v="61.199999999999996"/>
    <n v="28"/>
    <n v="33.199999999999996"/>
  </r>
  <r>
    <s v="O0259"/>
    <x v="1"/>
    <s v="C078"/>
    <s v="P008"/>
    <n v="4"/>
    <n v="0.1"/>
    <s v="Notebook Pack"/>
    <x v="3"/>
    <n v="12"/>
    <s v="Customer 078"/>
    <x v="2"/>
    <x v="0"/>
    <n v="43.2"/>
    <n v="20"/>
    <n v="23.200000000000003"/>
  </r>
  <r>
    <s v="O0260"/>
    <x v="103"/>
    <s v="C097"/>
    <s v="P009"/>
    <n v="1"/>
    <n v="0.1"/>
    <s v="Office Chair"/>
    <x v="1"/>
    <n v="180"/>
    <s v="Customer 097"/>
    <x v="3"/>
    <x v="2"/>
    <n v="162"/>
    <n v="105"/>
    <n v="57"/>
  </r>
  <r>
    <s v="O0261"/>
    <x v="40"/>
    <s v="C015"/>
    <s v="P005"/>
    <n v="5"/>
    <n v="0.15"/>
    <s v="Water Bottle"/>
    <x v="2"/>
    <n v="18"/>
    <s v="Customer 015"/>
    <x v="4"/>
    <x v="0"/>
    <n v="76.5"/>
    <n v="35"/>
    <n v="41.5"/>
  </r>
  <r>
    <s v="O0262"/>
    <x v="171"/>
    <s v="C086"/>
    <s v="P005"/>
    <n v="1"/>
    <n v="0.05"/>
    <s v="Water Bottle"/>
    <x v="2"/>
    <n v="18"/>
    <s v="Customer 086"/>
    <x v="5"/>
    <x v="2"/>
    <n v="17.099999999999998"/>
    <n v="7"/>
    <n v="10.099999999999998"/>
  </r>
  <r>
    <s v="O0263"/>
    <x v="26"/>
    <s v="C077"/>
    <s v="P001"/>
    <n v="1"/>
    <n v="0.05"/>
    <s v="Laptop Stand"/>
    <x v="1"/>
    <n v="35"/>
    <s v="Customer 077"/>
    <x v="2"/>
    <x v="0"/>
    <n v="33.25"/>
    <n v="20"/>
    <n v="13.25"/>
  </r>
  <r>
    <s v="O0264"/>
    <x v="191"/>
    <s v="C028"/>
    <s v="P003"/>
    <n v="3"/>
    <n v="0.1"/>
    <s v="Keyboard"/>
    <x v="0"/>
    <n v="45"/>
    <s v="Customer 028"/>
    <x v="2"/>
    <x v="0"/>
    <n v="121.5"/>
    <n v="66"/>
    <n v="55.5"/>
  </r>
  <r>
    <s v="O0265"/>
    <x v="192"/>
    <s v="C016"/>
    <s v="P001"/>
    <n v="4"/>
    <n v="0.15"/>
    <s v="Laptop Stand"/>
    <x v="1"/>
    <n v="35"/>
    <s v="Customer 016"/>
    <x v="2"/>
    <x v="1"/>
    <n v="119"/>
    <n v="80"/>
    <n v="39"/>
  </r>
  <r>
    <s v="O0266"/>
    <x v="158"/>
    <s v="C017"/>
    <s v="P007"/>
    <n v="5"/>
    <n v="0.05"/>
    <s v="Headphones"/>
    <x v="0"/>
    <n v="75"/>
    <s v="Customer 017"/>
    <x v="2"/>
    <x v="0"/>
    <n v="356.25"/>
    <n v="200"/>
    <n v="156.25"/>
  </r>
  <r>
    <s v="O0267"/>
    <x v="122"/>
    <s v="C072"/>
    <s v="P006"/>
    <n v="1"/>
    <n v="0.15"/>
    <s v="Backpack"/>
    <x v="2"/>
    <n v="55"/>
    <s v="Customer 072"/>
    <x v="1"/>
    <x v="1"/>
    <n v="46.75"/>
    <n v="27"/>
    <n v="19.75"/>
  </r>
  <r>
    <s v="O0268"/>
    <x v="193"/>
    <s v="C056"/>
    <s v="P001"/>
    <n v="4"/>
    <n v="0"/>
    <s v="Laptop Stand"/>
    <x v="1"/>
    <n v="35"/>
    <s v="Customer 056"/>
    <x v="2"/>
    <x v="2"/>
    <n v="140"/>
    <n v="80"/>
    <n v="60"/>
  </r>
  <r>
    <s v="O0269"/>
    <x v="51"/>
    <s v="C074"/>
    <s v="P007"/>
    <n v="5"/>
    <n v="0.15"/>
    <s v="Headphones"/>
    <x v="0"/>
    <n v="75"/>
    <s v="Customer 074"/>
    <x v="5"/>
    <x v="0"/>
    <n v="318.75"/>
    <n v="200"/>
    <n v="118.75"/>
  </r>
  <r>
    <s v="O0270"/>
    <x v="194"/>
    <s v="C082"/>
    <s v="P007"/>
    <n v="3"/>
    <n v="0"/>
    <s v="Headphones"/>
    <x v="0"/>
    <n v="75"/>
    <s v="Customer 082"/>
    <x v="4"/>
    <x v="0"/>
    <n v="225"/>
    <n v="120"/>
    <n v="105"/>
  </r>
  <r>
    <s v="O0271"/>
    <x v="58"/>
    <s v="C003"/>
    <s v="P006"/>
    <n v="2"/>
    <n v="0.15"/>
    <s v="Backpack"/>
    <x v="2"/>
    <n v="55"/>
    <s v="Customer 003"/>
    <x v="0"/>
    <x v="1"/>
    <n v="93.5"/>
    <n v="54"/>
    <n v="39.5"/>
  </r>
  <r>
    <s v="O0272"/>
    <x v="153"/>
    <s v="C047"/>
    <s v="P002"/>
    <n v="4"/>
    <n v="0"/>
    <s v="Wireless Mouse"/>
    <x v="0"/>
    <n v="25"/>
    <s v="Customer 047"/>
    <x v="5"/>
    <x v="0"/>
    <n v="100"/>
    <n v="48"/>
    <n v="52"/>
  </r>
  <r>
    <s v="O0273"/>
    <x v="195"/>
    <s v="C056"/>
    <s v="P010"/>
    <n v="4"/>
    <n v="0"/>
    <s v="USB-C Hub"/>
    <x v="0"/>
    <n v="40"/>
    <s v="Customer 056"/>
    <x v="2"/>
    <x v="2"/>
    <n v="160"/>
    <n v="76"/>
    <n v="84"/>
  </r>
  <r>
    <s v="O0274"/>
    <x v="26"/>
    <s v="C040"/>
    <s v="P006"/>
    <n v="2"/>
    <n v="0.1"/>
    <s v="Backpack"/>
    <x v="2"/>
    <n v="55"/>
    <s v="Customer 040"/>
    <x v="4"/>
    <x v="2"/>
    <n v="99"/>
    <n v="54"/>
    <n v="45"/>
  </r>
  <r>
    <s v="O0275"/>
    <x v="61"/>
    <s v="C010"/>
    <s v="P009"/>
    <n v="1"/>
    <n v="0.05"/>
    <s v="Office Chair"/>
    <x v="1"/>
    <n v="180"/>
    <s v="Customer 010"/>
    <x v="1"/>
    <x v="1"/>
    <n v="171"/>
    <n v="105"/>
    <n v="66"/>
  </r>
  <r>
    <s v="O0276"/>
    <x v="125"/>
    <s v="C045"/>
    <s v="P003"/>
    <n v="2"/>
    <n v="0"/>
    <s v="Keyboard"/>
    <x v="0"/>
    <n v="45"/>
    <s v="Customer 045"/>
    <x v="4"/>
    <x v="1"/>
    <n v="90"/>
    <n v="44"/>
    <n v="46"/>
  </r>
  <r>
    <s v="O0277"/>
    <x v="196"/>
    <s v="C033"/>
    <s v="P004"/>
    <n v="2"/>
    <n v="0.05"/>
    <s v="Desk Lamp"/>
    <x v="1"/>
    <n v="30"/>
    <s v="Customer 033"/>
    <x v="3"/>
    <x v="1"/>
    <n v="57"/>
    <n v="30"/>
    <n v="27"/>
  </r>
  <r>
    <s v="O0278"/>
    <x v="178"/>
    <s v="C010"/>
    <s v="P003"/>
    <n v="4"/>
    <n v="0.15"/>
    <s v="Keyboard"/>
    <x v="0"/>
    <n v="45"/>
    <s v="Customer 010"/>
    <x v="1"/>
    <x v="1"/>
    <n v="153"/>
    <n v="88"/>
    <n v="65"/>
  </r>
  <r>
    <s v="O0279"/>
    <x v="111"/>
    <s v="C098"/>
    <s v="P010"/>
    <n v="4"/>
    <n v="0.1"/>
    <s v="USB-C Hub"/>
    <x v="0"/>
    <n v="40"/>
    <s v="Customer 098"/>
    <x v="2"/>
    <x v="1"/>
    <n v="144"/>
    <n v="76"/>
    <n v="68"/>
  </r>
  <r>
    <s v="O0280"/>
    <x v="197"/>
    <s v="C041"/>
    <s v="P003"/>
    <n v="4"/>
    <n v="0"/>
    <s v="Keyboard"/>
    <x v="0"/>
    <n v="45"/>
    <s v="Customer 041"/>
    <x v="5"/>
    <x v="2"/>
    <n v="180"/>
    <n v="88"/>
    <n v="92"/>
  </r>
  <r>
    <s v="O0281"/>
    <x v="45"/>
    <s v="C057"/>
    <s v="P005"/>
    <n v="3"/>
    <n v="0"/>
    <s v="Water Bottle"/>
    <x v="2"/>
    <n v="18"/>
    <s v="Customer 057"/>
    <x v="1"/>
    <x v="1"/>
    <n v="54"/>
    <n v="21"/>
    <n v="33"/>
  </r>
  <r>
    <s v="O0282"/>
    <x v="198"/>
    <s v="C065"/>
    <s v="P002"/>
    <n v="3"/>
    <n v="0.15"/>
    <s v="Wireless Mouse"/>
    <x v="0"/>
    <n v="25"/>
    <s v="Customer 065"/>
    <x v="3"/>
    <x v="0"/>
    <n v="63.75"/>
    <n v="36"/>
    <n v="27.75"/>
  </r>
  <r>
    <s v="O0283"/>
    <x v="179"/>
    <s v="C005"/>
    <s v="P001"/>
    <n v="3"/>
    <n v="0.1"/>
    <s v="Laptop Stand"/>
    <x v="1"/>
    <n v="35"/>
    <s v="Customer 005"/>
    <x v="4"/>
    <x v="1"/>
    <n v="94.5"/>
    <n v="60"/>
    <n v="34.5"/>
  </r>
  <r>
    <s v="O0284"/>
    <x v="199"/>
    <s v="C083"/>
    <s v="P002"/>
    <n v="5"/>
    <n v="0.15"/>
    <s v="Wireless Mouse"/>
    <x v="0"/>
    <n v="25"/>
    <s v="Customer 083"/>
    <x v="0"/>
    <x v="0"/>
    <n v="106.25"/>
    <n v="60"/>
    <n v="46.25"/>
  </r>
  <r>
    <s v="O0285"/>
    <x v="200"/>
    <s v="C075"/>
    <s v="P009"/>
    <n v="1"/>
    <n v="0.15"/>
    <s v="Office Chair"/>
    <x v="1"/>
    <n v="180"/>
    <s v="Customer 075"/>
    <x v="2"/>
    <x v="0"/>
    <n v="153"/>
    <n v="105"/>
    <n v="48"/>
  </r>
  <r>
    <s v="O0286"/>
    <x v="10"/>
    <s v="C084"/>
    <s v="P004"/>
    <n v="3"/>
    <n v="0.15"/>
    <s v="Desk Lamp"/>
    <x v="1"/>
    <n v="30"/>
    <s v="Customer 084"/>
    <x v="0"/>
    <x v="1"/>
    <n v="76.5"/>
    <n v="45"/>
    <n v="31.5"/>
  </r>
  <r>
    <s v="O0287"/>
    <x v="122"/>
    <s v="C020"/>
    <s v="P001"/>
    <n v="4"/>
    <n v="0"/>
    <s v="Laptop Stand"/>
    <x v="1"/>
    <n v="35"/>
    <s v="Customer 020"/>
    <x v="2"/>
    <x v="2"/>
    <n v="140"/>
    <n v="80"/>
    <n v="60"/>
  </r>
  <r>
    <s v="O0288"/>
    <x v="201"/>
    <s v="C092"/>
    <s v="P002"/>
    <n v="5"/>
    <n v="0.05"/>
    <s v="Wireless Mouse"/>
    <x v="0"/>
    <n v="25"/>
    <s v="Customer 092"/>
    <x v="4"/>
    <x v="0"/>
    <n v="118.75"/>
    <n v="60"/>
    <n v="58.75"/>
  </r>
  <r>
    <s v="O0289"/>
    <x v="41"/>
    <s v="C032"/>
    <s v="P008"/>
    <n v="4"/>
    <n v="0.05"/>
    <s v="Notebook Pack"/>
    <x v="3"/>
    <n v="12"/>
    <s v="Customer 032"/>
    <x v="3"/>
    <x v="2"/>
    <n v="45.599999999999994"/>
    <n v="20"/>
    <n v="25.599999999999994"/>
  </r>
  <r>
    <s v="O0290"/>
    <x v="54"/>
    <s v="C048"/>
    <s v="P005"/>
    <n v="4"/>
    <n v="0.15"/>
    <s v="Water Bottle"/>
    <x v="2"/>
    <n v="18"/>
    <s v="Customer 048"/>
    <x v="4"/>
    <x v="1"/>
    <n v="61.199999999999996"/>
    <n v="28"/>
    <n v="33.199999999999996"/>
  </r>
  <r>
    <s v="O0291"/>
    <x v="14"/>
    <s v="C087"/>
    <s v="P010"/>
    <n v="1"/>
    <n v="0.1"/>
    <s v="USB-C Hub"/>
    <x v="0"/>
    <n v="40"/>
    <s v="Customer 087"/>
    <x v="1"/>
    <x v="0"/>
    <n v="36"/>
    <n v="19"/>
    <n v="17"/>
  </r>
  <r>
    <s v="O0292"/>
    <x v="175"/>
    <s v="C043"/>
    <s v="P002"/>
    <n v="5"/>
    <n v="0.15"/>
    <s v="Wireless Mouse"/>
    <x v="0"/>
    <n v="25"/>
    <s v="Customer 043"/>
    <x v="4"/>
    <x v="2"/>
    <n v="106.25"/>
    <n v="60"/>
    <n v="46.25"/>
  </r>
  <r>
    <s v="O0293"/>
    <x v="29"/>
    <s v="C033"/>
    <s v="P010"/>
    <n v="2"/>
    <n v="0.1"/>
    <s v="USB-C Hub"/>
    <x v="0"/>
    <n v="40"/>
    <s v="Customer 033"/>
    <x v="3"/>
    <x v="1"/>
    <n v="72"/>
    <n v="38"/>
    <n v="34"/>
  </r>
  <r>
    <s v="O0294"/>
    <x v="202"/>
    <s v="C075"/>
    <s v="P003"/>
    <n v="3"/>
    <n v="0.1"/>
    <s v="Keyboard"/>
    <x v="0"/>
    <n v="45"/>
    <s v="Customer 075"/>
    <x v="2"/>
    <x v="0"/>
    <n v="121.5"/>
    <n v="66"/>
    <n v="55.5"/>
  </r>
  <r>
    <s v="O0295"/>
    <x v="178"/>
    <s v="C090"/>
    <s v="P007"/>
    <n v="2"/>
    <n v="0"/>
    <s v="Headphones"/>
    <x v="0"/>
    <n v="75"/>
    <s v="Customer 090"/>
    <x v="3"/>
    <x v="1"/>
    <n v="150"/>
    <n v="80"/>
    <n v="70"/>
  </r>
  <r>
    <s v="O0296"/>
    <x v="157"/>
    <s v="C072"/>
    <s v="P007"/>
    <n v="3"/>
    <n v="0.05"/>
    <s v="Headphones"/>
    <x v="0"/>
    <n v="75"/>
    <s v="Customer 072"/>
    <x v="1"/>
    <x v="1"/>
    <n v="213.75"/>
    <n v="120"/>
    <n v="93.75"/>
  </r>
  <r>
    <s v="O0297"/>
    <x v="181"/>
    <s v="C090"/>
    <s v="P009"/>
    <n v="1"/>
    <n v="0.15"/>
    <s v="Office Chair"/>
    <x v="1"/>
    <n v="180"/>
    <s v="Customer 090"/>
    <x v="3"/>
    <x v="1"/>
    <n v="153"/>
    <n v="105"/>
    <n v="48"/>
  </r>
  <r>
    <s v="O0298"/>
    <x v="203"/>
    <s v="C047"/>
    <s v="P001"/>
    <n v="3"/>
    <n v="0.1"/>
    <s v="Laptop Stand"/>
    <x v="1"/>
    <n v="35"/>
    <s v="Customer 047"/>
    <x v="5"/>
    <x v="0"/>
    <n v="94.5"/>
    <n v="60"/>
    <n v="34.5"/>
  </r>
  <r>
    <s v="O0299"/>
    <x v="204"/>
    <s v="C028"/>
    <s v="P006"/>
    <n v="4"/>
    <n v="0.05"/>
    <s v="Backpack"/>
    <x v="2"/>
    <n v="55"/>
    <s v="Customer 028"/>
    <x v="2"/>
    <x v="0"/>
    <n v="209"/>
    <n v="108"/>
    <n v="101"/>
  </r>
  <r>
    <s v="O0300"/>
    <x v="133"/>
    <s v="C018"/>
    <s v="P003"/>
    <n v="1"/>
    <n v="0.1"/>
    <s v="Keyboard"/>
    <x v="0"/>
    <n v="45"/>
    <s v="Customer 018"/>
    <x v="0"/>
    <x v="1"/>
    <n v="40.5"/>
    <n v="22"/>
    <n v="18.5"/>
  </r>
  <r>
    <s v="O0301"/>
    <x v="104"/>
    <s v="C065"/>
    <s v="P009"/>
    <n v="5"/>
    <n v="0"/>
    <s v="Office Chair"/>
    <x v="1"/>
    <n v="180"/>
    <s v="Customer 065"/>
    <x v="3"/>
    <x v="0"/>
    <n v="900"/>
    <n v="525"/>
    <n v="375"/>
  </r>
  <r>
    <s v="O0302"/>
    <x v="91"/>
    <s v="C044"/>
    <s v="P010"/>
    <n v="2"/>
    <n v="0.15"/>
    <s v="USB-C Hub"/>
    <x v="0"/>
    <n v="40"/>
    <s v="Customer 044"/>
    <x v="4"/>
    <x v="0"/>
    <n v="68"/>
    <n v="38"/>
    <n v="30"/>
  </r>
  <r>
    <s v="O0303"/>
    <x v="205"/>
    <s v="C021"/>
    <s v="P003"/>
    <n v="5"/>
    <n v="0.05"/>
    <s v="Keyboard"/>
    <x v="0"/>
    <n v="45"/>
    <s v="Customer 021"/>
    <x v="0"/>
    <x v="1"/>
    <n v="213.75"/>
    <n v="110"/>
    <n v="103.75"/>
  </r>
  <r>
    <s v="O0304"/>
    <x v="131"/>
    <s v="C006"/>
    <s v="P007"/>
    <n v="3"/>
    <n v="0.05"/>
    <s v="Headphones"/>
    <x v="0"/>
    <n v="75"/>
    <s v="Customer 006"/>
    <x v="4"/>
    <x v="0"/>
    <n v="213.75"/>
    <n v="120"/>
    <n v="93.75"/>
  </r>
  <r>
    <s v="O0305"/>
    <x v="206"/>
    <s v="C079"/>
    <s v="P005"/>
    <n v="4"/>
    <n v="0.05"/>
    <s v="Water Bottle"/>
    <x v="2"/>
    <n v="18"/>
    <s v="Customer 079"/>
    <x v="0"/>
    <x v="0"/>
    <n v="68.399999999999991"/>
    <n v="28"/>
    <n v="40.399999999999991"/>
  </r>
  <r>
    <s v="O0306"/>
    <x v="207"/>
    <s v="C031"/>
    <s v="P005"/>
    <n v="4"/>
    <n v="0.05"/>
    <s v="Water Bottle"/>
    <x v="2"/>
    <n v="18"/>
    <s v="Customer 031"/>
    <x v="0"/>
    <x v="0"/>
    <n v="68.399999999999991"/>
    <n v="28"/>
    <n v="40.399999999999991"/>
  </r>
  <r>
    <s v="O0307"/>
    <x v="208"/>
    <s v="C087"/>
    <s v="P010"/>
    <n v="4"/>
    <n v="0.15"/>
    <s v="USB-C Hub"/>
    <x v="0"/>
    <n v="40"/>
    <s v="Customer 087"/>
    <x v="1"/>
    <x v="0"/>
    <n v="136"/>
    <n v="76"/>
    <n v="60"/>
  </r>
  <r>
    <s v="O0308"/>
    <x v="33"/>
    <s v="C100"/>
    <s v="P007"/>
    <n v="5"/>
    <n v="0.15"/>
    <s v="Headphones"/>
    <x v="0"/>
    <n v="75"/>
    <s v="Customer 100"/>
    <x v="0"/>
    <x v="1"/>
    <n v="318.75"/>
    <n v="200"/>
    <n v="118.75"/>
  </r>
  <r>
    <s v="O0309"/>
    <x v="37"/>
    <s v="C026"/>
    <s v="P010"/>
    <n v="2"/>
    <n v="0.1"/>
    <s v="USB-C Hub"/>
    <x v="0"/>
    <n v="40"/>
    <s v="Customer 026"/>
    <x v="3"/>
    <x v="2"/>
    <n v="72"/>
    <n v="38"/>
    <n v="34"/>
  </r>
  <r>
    <s v="O0310"/>
    <x v="182"/>
    <s v="C083"/>
    <s v="P008"/>
    <n v="3"/>
    <n v="0"/>
    <s v="Notebook Pack"/>
    <x v="3"/>
    <n v="12"/>
    <s v="Customer 083"/>
    <x v="0"/>
    <x v="0"/>
    <n v="36"/>
    <n v="15"/>
    <n v="21"/>
  </r>
  <r>
    <s v="O0311"/>
    <x v="209"/>
    <s v="C067"/>
    <s v="P002"/>
    <n v="3"/>
    <n v="0"/>
    <s v="Wireless Mouse"/>
    <x v="0"/>
    <n v="25"/>
    <s v="Customer 067"/>
    <x v="3"/>
    <x v="2"/>
    <n v="75"/>
    <n v="36"/>
    <n v="39"/>
  </r>
  <r>
    <s v="O0312"/>
    <x v="37"/>
    <s v="C035"/>
    <s v="P008"/>
    <n v="5"/>
    <n v="0.05"/>
    <s v="Notebook Pack"/>
    <x v="3"/>
    <n v="12"/>
    <s v="Customer 035"/>
    <x v="1"/>
    <x v="0"/>
    <n v="57"/>
    <n v="25"/>
    <n v="32"/>
  </r>
  <r>
    <s v="O0313"/>
    <x v="210"/>
    <s v="C012"/>
    <s v="P004"/>
    <n v="4"/>
    <n v="0.1"/>
    <s v="Desk Lamp"/>
    <x v="1"/>
    <n v="30"/>
    <s v="Customer 012"/>
    <x v="3"/>
    <x v="1"/>
    <n v="108"/>
    <n v="60"/>
    <n v="48"/>
  </r>
  <r>
    <s v="O0314"/>
    <x v="124"/>
    <s v="C054"/>
    <s v="P001"/>
    <n v="4"/>
    <n v="0.1"/>
    <s v="Laptop Stand"/>
    <x v="1"/>
    <n v="35"/>
    <s v="Customer 054"/>
    <x v="1"/>
    <x v="1"/>
    <n v="126"/>
    <n v="80"/>
    <n v="46"/>
  </r>
  <r>
    <s v="O0315"/>
    <x v="167"/>
    <s v="C050"/>
    <s v="P002"/>
    <n v="3"/>
    <n v="0.05"/>
    <s v="Wireless Mouse"/>
    <x v="0"/>
    <n v="25"/>
    <s v="Customer 050"/>
    <x v="2"/>
    <x v="2"/>
    <n v="71.25"/>
    <n v="36"/>
    <n v="35.25"/>
  </r>
  <r>
    <s v="O0316"/>
    <x v="49"/>
    <s v="C041"/>
    <s v="P002"/>
    <n v="3"/>
    <n v="0.05"/>
    <s v="Wireless Mouse"/>
    <x v="0"/>
    <n v="25"/>
    <s v="Customer 041"/>
    <x v="5"/>
    <x v="2"/>
    <n v="71.25"/>
    <n v="36"/>
    <n v="35.25"/>
  </r>
  <r>
    <s v="O0317"/>
    <x v="211"/>
    <s v="C005"/>
    <s v="P005"/>
    <n v="4"/>
    <n v="0.05"/>
    <s v="Water Bottle"/>
    <x v="2"/>
    <n v="18"/>
    <s v="Customer 005"/>
    <x v="4"/>
    <x v="1"/>
    <n v="68.399999999999991"/>
    <n v="28"/>
    <n v="40.399999999999991"/>
  </r>
  <r>
    <s v="O0318"/>
    <x v="212"/>
    <s v="C061"/>
    <s v="P008"/>
    <n v="5"/>
    <n v="0"/>
    <s v="Notebook Pack"/>
    <x v="3"/>
    <n v="12"/>
    <s v="Customer 061"/>
    <x v="2"/>
    <x v="0"/>
    <n v="60"/>
    <n v="25"/>
    <n v="35"/>
  </r>
  <r>
    <s v="O0319"/>
    <x v="150"/>
    <s v="C003"/>
    <s v="P005"/>
    <n v="2"/>
    <n v="0.05"/>
    <s v="Water Bottle"/>
    <x v="2"/>
    <n v="18"/>
    <s v="Customer 003"/>
    <x v="0"/>
    <x v="1"/>
    <n v="34.199999999999996"/>
    <n v="14"/>
    <n v="20.199999999999996"/>
  </r>
  <r>
    <s v="O0320"/>
    <x v="213"/>
    <s v="C094"/>
    <s v="P010"/>
    <n v="5"/>
    <n v="0.15"/>
    <s v="USB-C Hub"/>
    <x v="0"/>
    <n v="40"/>
    <s v="Customer 094"/>
    <x v="5"/>
    <x v="2"/>
    <n v="170"/>
    <n v="95"/>
    <n v="75"/>
  </r>
  <r>
    <s v="O0321"/>
    <x v="214"/>
    <s v="C100"/>
    <s v="P005"/>
    <n v="2"/>
    <n v="0.1"/>
    <s v="Water Bottle"/>
    <x v="2"/>
    <n v="18"/>
    <s v="Customer 100"/>
    <x v="0"/>
    <x v="1"/>
    <n v="32.4"/>
    <n v="14"/>
    <n v="18.399999999999999"/>
  </r>
  <r>
    <s v="O0322"/>
    <x v="215"/>
    <s v="C007"/>
    <s v="P004"/>
    <n v="4"/>
    <n v="0.15"/>
    <s v="Desk Lamp"/>
    <x v="1"/>
    <n v="30"/>
    <s v="Customer 007"/>
    <x v="3"/>
    <x v="1"/>
    <n v="102"/>
    <n v="60"/>
    <n v="42"/>
  </r>
  <r>
    <s v="O0323"/>
    <x v="216"/>
    <s v="C015"/>
    <s v="P008"/>
    <n v="5"/>
    <n v="0"/>
    <s v="Notebook Pack"/>
    <x v="3"/>
    <n v="12"/>
    <s v="Customer 015"/>
    <x v="4"/>
    <x v="0"/>
    <n v="60"/>
    <n v="25"/>
    <n v="35"/>
  </r>
  <r>
    <s v="O0324"/>
    <x v="217"/>
    <s v="C066"/>
    <s v="P010"/>
    <n v="2"/>
    <n v="0.05"/>
    <s v="USB-C Hub"/>
    <x v="0"/>
    <n v="40"/>
    <s v="Customer 066"/>
    <x v="0"/>
    <x v="0"/>
    <n v="76"/>
    <n v="38"/>
    <n v="38"/>
  </r>
  <r>
    <s v="O0325"/>
    <x v="218"/>
    <s v="C055"/>
    <s v="P001"/>
    <n v="5"/>
    <n v="0.1"/>
    <s v="Laptop Stand"/>
    <x v="1"/>
    <n v="35"/>
    <s v="Customer 055"/>
    <x v="1"/>
    <x v="2"/>
    <n v="157.5"/>
    <n v="100"/>
    <n v="57.5"/>
  </r>
  <r>
    <s v="O0326"/>
    <x v="219"/>
    <s v="C074"/>
    <s v="P007"/>
    <n v="2"/>
    <n v="0"/>
    <s v="Headphones"/>
    <x v="0"/>
    <n v="75"/>
    <s v="Customer 074"/>
    <x v="5"/>
    <x v="0"/>
    <n v="150"/>
    <n v="80"/>
    <n v="70"/>
  </r>
  <r>
    <s v="O0327"/>
    <x v="220"/>
    <s v="C047"/>
    <s v="P002"/>
    <n v="5"/>
    <n v="0"/>
    <s v="Wireless Mouse"/>
    <x v="0"/>
    <n v="25"/>
    <s v="Customer 047"/>
    <x v="5"/>
    <x v="0"/>
    <n v="125"/>
    <n v="60"/>
    <n v="65"/>
  </r>
  <r>
    <s v="O0328"/>
    <x v="221"/>
    <s v="C061"/>
    <s v="P001"/>
    <n v="4"/>
    <n v="0.1"/>
    <s v="Laptop Stand"/>
    <x v="1"/>
    <n v="35"/>
    <s v="Customer 061"/>
    <x v="2"/>
    <x v="0"/>
    <n v="126"/>
    <n v="80"/>
    <n v="46"/>
  </r>
  <r>
    <s v="O0329"/>
    <x v="222"/>
    <s v="C096"/>
    <s v="P001"/>
    <n v="3"/>
    <n v="0"/>
    <s v="Laptop Stand"/>
    <x v="1"/>
    <n v="35"/>
    <s v="Customer 096"/>
    <x v="3"/>
    <x v="1"/>
    <n v="105"/>
    <n v="60"/>
    <n v="45"/>
  </r>
  <r>
    <s v="O0330"/>
    <x v="223"/>
    <s v="C031"/>
    <s v="P002"/>
    <n v="5"/>
    <n v="0.1"/>
    <s v="Wireless Mouse"/>
    <x v="0"/>
    <n v="25"/>
    <s v="Customer 031"/>
    <x v="0"/>
    <x v="0"/>
    <n v="112.5"/>
    <n v="60"/>
    <n v="52.5"/>
  </r>
  <r>
    <s v="O0331"/>
    <x v="67"/>
    <s v="C006"/>
    <s v="P006"/>
    <n v="5"/>
    <n v="0.1"/>
    <s v="Backpack"/>
    <x v="2"/>
    <n v="55"/>
    <s v="Customer 006"/>
    <x v="4"/>
    <x v="0"/>
    <n v="247.5"/>
    <n v="135"/>
    <n v="112.5"/>
  </r>
  <r>
    <s v="O0332"/>
    <x v="82"/>
    <s v="C023"/>
    <s v="P008"/>
    <n v="4"/>
    <n v="0.05"/>
    <s v="Notebook Pack"/>
    <x v="3"/>
    <n v="12"/>
    <s v="Customer 023"/>
    <x v="1"/>
    <x v="1"/>
    <n v="45.599999999999994"/>
    <n v="20"/>
    <n v="25.599999999999994"/>
  </r>
  <r>
    <s v="O0333"/>
    <x v="224"/>
    <s v="C009"/>
    <s v="P008"/>
    <n v="1"/>
    <n v="0.1"/>
    <s v="Notebook Pack"/>
    <x v="3"/>
    <n v="12"/>
    <s v="Customer 009"/>
    <x v="1"/>
    <x v="1"/>
    <n v="10.8"/>
    <n v="5"/>
    <n v="5.8000000000000007"/>
  </r>
  <r>
    <s v="O0334"/>
    <x v="225"/>
    <s v="C006"/>
    <s v="P004"/>
    <n v="1"/>
    <n v="0.1"/>
    <s v="Desk Lamp"/>
    <x v="1"/>
    <n v="30"/>
    <s v="Customer 006"/>
    <x v="4"/>
    <x v="0"/>
    <n v="27"/>
    <n v="15"/>
    <n v="12"/>
  </r>
  <r>
    <s v="O0335"/>
    <x v="157"/>
    <s v="C066"/>
    <s v="P007"/>
    <n v="5"/>
    <n v="0.15"/>
    <s v="Headphones"/>
    <x v="0"/>
    <n v="75"/>
    <s v="Customer 066"/>
    <x v="0"/>
    <x v="0"/>
    <n v="318.75"/>
    <n v="200"/>
    <n v="118.75"/>
  </r>
  <r>
    <s v="O0336"/>
    <x v="222"/>
    <s v="C005"/>
    <s v="P004"/>
    <n v="3"/>
    <n v="0.1"/>
    <s v="Desk Lamp"/>
    <x v="1"/>
    <n v="30"/>
    <s v="Customer 005"/>
    <x v="4"/>
    <x v="1"/>
    <n v="81"/>
    <n v="45"/>
    <n v="36"/>
  </r>
  <r>
    <s v="O0337"/>
    <x v="226"/>
    <s v="C084"/>
    <s v="P006"/>
    <n v="3"/>
    <n v="0"/>
    <s v="Backpack"/>
    <x v="2"/>
    <n v="55"/>
    <s v="Customer 084"/>
    <x v="0"/>
    <x v="1"/>
    <n v="165"/>
    <n v="81"/>
    <n v="84"/>
  </r>
  <r>
    <s v="O0338"/>
    <x v="208"/>
    <s v="C056"/>
    <s v="P007"/>
    <n v="4"/>
    <n v="0.15"/>
    <s v="Headphones"/>
    <x v="0"/>
    <n v="75"/>
    <s v="Customer 056"/>
    <x v="2"/>
    <x v="2"/>
    <n v="255"/>
    <n v="160"/>
    <n v="95"/>
  </r>
  <r>
    <s v="O0339"/>
    <x v="14"/>
    <s v="C024"/>
    <s v="P008"/>
    <n v="4"/>
    <n v="0.1"/>
    <s v="Notebook Pack"/>
    <x v="3"/>
    <n v="12"/>
    <s v="Customer 024"/>
    <x v="2"/>
    <x v="1"/>
    <n v="43.2"/>
    <n v="20"/>
    <n v="23.200000000000003"/>
  </r>
  <r>
    <s v="O0340"/>
    <x v="227"/>
    <s v="C035"/>
    <s v="P002"/>
    <n v="4"/>
    <n v="0"/>
    <s v="Wireless Mouse"/>
    <x v="0"/>
    <n v="25"/>
    <s v="Customer 035"/>
    <x v="1"/>
    <x v="0"/>
    <n v="100"/>
    <n v="48"/>
    <n v="52"/>
  </r>
  <r>
    <s v="O0341"/>
    <x v="40"/>
    <s v="C078"/>
    <s v="P003"/>
    <n v="5"/>
    <n v="0.1"/>
    <s v="Keyboard"/>
    <x v="0"/>
    <n v="45"/>
    <s v="Customer 078"/>
    <x v="2"/>
    <x v="0"/>
    <n v="202.5"/>
    <n v="110"/>
    <n v="92.5"/>
  </r>
  <r>
    <s v="O0342"/>
    <x v="139"/>
    <s v="C014"/>
    <s v="P002"/>
    <n v="3"/>
    <n v="0.1"/>
    <s v="Wireless Mouse"/>
    <x v="0"/>
    <n v="25"/>
    <s v="Customer 014"/>
    <x v="4"/>
    <x v="0"/>
    <n v="67.5"/>
    <n v="36"/>
    <n v="31.5"/>
  </r>
  <r>
    <s v="O0343"/>
    <x v="46"/>
    <s v="C058"/>
    <s v="P010"/>
    <n v="4"/>
    <n v="0.05"/>
    <s v="USB-C Hub"/>
    <x v="0"/>
    <n v="40"/>
    <s v="Customer 058"/>
    <x v="3"/>
    <x v="0"/>
    <n v="152"/>
    <n v="76"/>
    <n v="76"/>
  </r>
  <r>
    <s v="O0344"/>
    <x v="153"/>
    <s v="C057"/>
    <s v="P006"/>
    <n v="4"/>
    <n v="0"/>
    <s v="Backpack"/>
    <x v="2"/>
    <n v="55"/>
    <s v="Customer 057"/>
    <x v="1"/>
    <x v="1"/>
    <n v="220"/>
    <n v="108"/>
    <n v="112"/>
  </r>
  <r>
    <s v="O0345"/>
    <x v="198"/>
    <s v="C079"/>
    <s v="P007"/>
    <n v="3"/>
    <n v="0"/>
    <s v="Headphones"/>
    <x v="0"/>
    <n v="75"/>
    <s v="Customer 079"/>
    <x v="0"/>
    <x v="0"/>
    <n v="225"/>
    <n v="120"/>
    <n v="105"/>
  </r>
  <r>
    <s v="O0346"/>
    <x v="143"/>
    <s v="C086"/>
    <s v="P007"/>
    <n v="3"/>
    <n v="0.05"/>
    <s v="Headphones"/>
    <x v="0"/>
    <n v="75"/>
    <s v="Customer 086"/>
    <x v="5"/>
    <x v="2"/>
    <n v="213.75"/>
    <n v="120"/>
    <n v="93.75"/>
  </r>
  <r>
    <s v="O0347"/>
    <x v="228"/>
    <s v="C019"/>
    <s v="P010"/>
    <n v="4"/>
    <n v="0"/>
    <s v="USB-C Hub"/>
    <x v="0"/>
    <n v="40"/>
    <s v="Customer 019"/>
    <x v="5"/>
    <x v="0"/>
    <n v="160"/>
    <n v="76"/>
    <n v="84"/>
  </r>
  <r>
    <s v="O0348"/>
    <x v="229"/>
    <s v="C009"/>
    <s v="P004"/>
    <n v="3"/>
    <n v="0.1"/>
    <s v="Desk Lamp"/>
    <x v="1"/>
    <n v="30"/>
    <s v="Customer 009"/>
    <x v="1"/>
    <x v="1"/>
    <n v="81"/>
    <n v="45"/>
    <n v="36"/>
  </r>
  <r>
    <s v="O0349"/>
    <x v="74"/>
    <s v="C073"/>
    <s v="P001"/>
    <n v="5"/>
    <n v="0.05"/>
    <s v="Laptop Stand"/>
    <x v="1"/>
    <n v="35"/>
    <s v="Customer 073"/>
    <x v="5"/>
    <x v="0"/>
    <n v="166.25"/>
    <n v="100"/>
    <n v="66.25"/>
  </r>
  <r>
    <s v="O0350"/>
    <x v="156"/>
    <s v="C058"/>
    <s v="P006"/>
    <n v="3"/>
    <n v="0.15"/>
    <s v="Backpack"/>
    <x v="2"/>
    <n v="55"/>
    <s v="Customer 058"/>
    <x v="3"/>
    <x v="0"/>
    <n v="140.25"/>
    <n v="81"/>
    <n v="59.25"/>
  </r>
  <r>
    <s v="O0351"/>
    <x v="199"/>
    <s v="C074"/>
    <s v="P003"/>
    <n v="5"/>
    <n v="0.1"/>
    <s v="Keyboard"/>
    <x v="0"/>
    <n v="45"/>
    <s v="Customer 074"/>
    <x v="5"/>
    <x v="0"/>
    <n v="202.5"/>
    <n v="110"/>
    <n v="92.5"/>
  </r>
  <r>
    <s v="O0352"/>
    <x v="88"/>
    <s v="C041"/>
    <s v="P005"/>
    <n v="2"/>
    <n v="0"/>
    <s v="Water Bottle"/>
    <x v="2"/>
    <n v="18"/>
    <s v="Customer 041"/>
    <x v="5"/>
    <x v="2"/>
    <n v="36"/>
    <n v="14"/>
    <n v="22"/>
  </r>
  <r>
    <s v="O0353"/>
    <x v="124"/>
    <s v="C095"/>
    <s v="P003"/>
    <n v="4"/>
    <n v="0.15"/>
    <s v="Keyboard"/>
    <x v="0"/>
    <n v="45"/>
    <s v="Customer 095"/>
    <x v="5"/>
    <x v="0"/>
    <n v="153"/>
    <n v="88"/>
    <n v="65"/>
  </r>
  <r>
    <s v="O0354"/>
    <x v="38"/>
    <s v="C016"/>
    <s v="P005"/>
    <n v="3"/>
    <n v="0.15"/>
    <s v="Water Bottle"/>
    <x v="2"/>
    <n v="18"/>
    <s v="Customer 016"/>
    <x v="2"/>
    <x v="1"/>
    <n v="45.9"/>
    <n v="21"/>
    <n v="24.9"/>
  </r>
  <r>
    <s v="O0355"/>
    <x v="230"/>
    <s v="C079"/>
    <s v="P005"/>
    <n v="4"/>
    <n v="0.05"/>
    <s v="Water Bottle"/>
    <x v="2"/>
    <n v="18"/>
    <s v="Customer 079"/>
    <x v="0"/>
    <x v="0"/>
    <n v="68.399999999999991"/>
    <n v="28"/>
    <n v="40.399999999999991"/>
  </r>
  <r>
    <s v="O0356"/>
    <x v="215"/>
    <s v="C018"/>
    <s v="P002"/>
    <n v="4"/>
    <n v="0.05"/>
    <s v="Wireless Mouse"/>
    <x v="0"/>
    <n v="25"/>
    <s v="Customer 018"/>
    <x v="0"/>
    <x v="1"/>
    <n v="95"/>
    <n v="48"/>
    <n v="47"/>
  </r>
  <r>
    <s v="O0357"/>
    <x v="206"/>
    <s v="C012"/>
    <s v="P006"/>
    <n v="3"/>
    <n v="0"/>
    <s v="Backpack"/>
    <x v="2"/>
    <n v="55"/>
    <s v="Customer 012"/>
    <x v="3"/>
    <x v="1"/>
    <n v="165"/>
    <n v="81"/>
    <n v="84"/>
  </r>
  <r>
    <s v="O0358"/>
    <x v="16"/>
    <s v="C070"/>
    <s v="P005"/>
    <n v="3"/>
    <n v="0.05"/>
    <s v="Water Bottle"/>
    <x v="2"/>
    <n v="18"/>
    <s v="Customer 070"/>
    <x v="5"/>
    <x v="0"/>
    <n v="51.3"/>
    <n v="21"/>
    <n v="30.299999999999997"/>
  </r>
  <r>
    <s v="O0359"/>
    <x v="209"/>
    <s v="C091"/>
    <s v="P003"/>
    <n v="3"/>
    <n v="0.05"/>
    <s v="Keyboard"/>
    <x v="0"/>
    <n v="45"/>
    <s v="Customer 091"/>
    <x v="4"/>
    <x v="2"/>
    <n v="128.25"/>
    <n v="66"/>
    <n v="62.25"/>
  </r>
  <r>
    <s v="O0360"/>
    <x v="215"/>
    <s v="C026"/>
    <s v="P003"/>
    <n v="2"/>
    <n v="0.15"/>
    <s v="Keyboard"/>
    <x v="0"/>
    <n v="45"/>
    <s v="Customer 026"/>
    <x v="3"/>
    <x v="2"/>
    <n v="76.5"/>
    <n v="44"/>
    <n v="32.5"/>
  </r>
  <r>
    <s v="O0361"/>
    <x v="124"/>
    <s v="C047"/>
    <s v="P009"/>
    <n v="5"/>
    <n v="0.1"/>
    <s v="Office Chair"/>
    <x v="1"/>
    <n v="180"/>
    <s v="Customer 047"/>
    <x v="5"/>
    <x v="0"/>
    <n v="810"/>
    <n v="525"/>
    <n v="285"/>
  </r>
  <r>
    <s v="O0362"/>
    <x v="80"/>
    <s v="C071"/>
    <s v="P003"/>
    <n v="5"/>
    <n v="0"/>
    <s v="Keyboard"/>
    <x v="0"/>
    <n v="45"/>
    <s v="Customer 071"/>
    <x v="2"/>
    <x v="1"/>
    <n v="225"/>
    <n v="110"/>
    <n v="115"/>
  </r>
  <r>
    <s v="O0363"/>
    <x v="175"/>
    <s v="C040"/>
    <s v="P007"/>
    <n v="4"/>
    <n v="0.15"/>
    <s v="Headphones"/>
    <x v="0"/>
    <n v="75"/>
    <s v="Customer 040"/>
    <x v="4"/>
    <x v="2"/>
    <n v="255"/>
    <n v="160"/>
    <n v="95"/>
  </r>
  <r>
    <s v="O0364"/>
    <x v="118"/>
    <s v="C074"/>
    <s v="P002"/>
    <n v="2"/>
    <n v="0.1"/>
    <s v="Wireless Mouse"/>
    <x v="0"/>
    <n v="25"/>
    <s v="Customer 074"/>
    <x v="5"/>
    <x v="0"/>
    <n v="45"/>
    <n v="24"/>
    <n v="21"/>
  </r>
  <r>
    <s v="O0365"/>
    <x v="231"/>
    <s v="C010"/>
    <s v="P008"/>
    <n v="4"/>
    <n v="0.1"/>
    <s v="Notebook Pack"/>
    <x v="3"/>
    <n v="12"/>
    <s v="Customer 010"/>
    <x v="1"/>
    <x v="1"/>
    <n v="43.2"/>
    <n v="20"/>
    <n v="23.200000000000003"/>
  </r>
  <r>
    <s v="O0366"/>
    <x v="232"/>
    <s v="C100"/>
    <s v="P009"/>
    <n v="5"/>
    <n v="0.05"/>
    <s v="Office Chair"/>
    <x v="1"/>
    <n v="180"/>
    <s v="Customer 100"/>
    <x v="0"/>
    <x v="1"/>
    <n v="855"/>
    <n v="525"/>
    <n v="330"/>
  </r>
  <r>
    <s v="O0367"/>
    <x v="233"/>
    <s v="C056"/>
    <s v="P009"/>
    <n v="1"/>
    <n v="0"/>
    <s v="Office Chair"/>
    <x v="1"/>
    <n v="180"/>
    <s v="Customer 056"/>
    <x v="2"/>
    <x v="2"/>
    <n v="180"/>
    <n v="105"/>
    <n v="75"/>
  </r>
  <r>
    <s v="O0368"/>
    <x v="227"/>
    <s v="C020"/>
    <s v="P005"/>
    <n v="2"/>
    <n v="0.05"/>
    <s v="Water Bottle"/>
    <x v="2"/>
    <n v="18"/>
    <s v="Customer 020"/>
    <x v="2"/>
    <x v="2"/>
    <n v="34.199999999999996"/>
    <n v="14"/>
    <n v="20.199999999999996"/>
  </r>
  <r>
    <s v="O0369"/>
    <x v="234"/>
    <s v="C091"/>
    <s v="P004"/>
    <n v="3"/>
    <n v="0.1"/>
    <s v="Desk Lamp"/>
    <x v="1"/>
    <n v="30"/>
    <s v="Customer 091"/>
    <x v="4"/>
    <x v="2"/>
    <n v="81"/>
    <n v="45"/>
    <n v="36"/>
  </r>
  <r>
    <s v="O0370"/>
    <x v="150"/>
    <s v="C033"/>
    <s v="P004"/>
    <n v="5"/>
    <n v="0.1"/>
    <s v="Desk Lamp"/>
    <x v="1"/>
    <n v="30"/>
    <s v="Customer 033"/>
    <x v="3"/>
    <x v="1"/>
    <n v="135"/>
    <n v="75"/>
    <n v="60"/>
  </r>
  <r>
    <s v="O0371"/>
    <x v="229"/>
    <s v="C081"/>
    <s v="P005"/>
    <n v="5"/>
    <n v="0"/>
    <s v="Water Bottle"/>
    <x v="2"/>
    <n v="18"/>
    <s v="Customer 081"/>
    <x v="4"/>
    <x v="1"/>
    <n v="90"/>
    <n v="35"/>
    <n v="55"/>
  </r>
  <r>
    <s v="O0372"/>
    <x v="172"/>
    <s v="C083"/>
    <s v="P003"/>
    <n v="5"/>
    <n v="0.05"/>
    <s v="Keyboard"/>
    <x v="0"/>
    <n v="45"/>
    <s v="Customer 083"/>
    <x v="0"/>
    <x v="0"/>
    <n v="213.75"/>
    <n v="110"/>
    <n v="103.75"/>
  </r>
  <r>
    <s v="O0373"/>
    <x v="235"/>
    <s v="C085"/>
    <s v="P010"/>
    <n v="5"/>
    <n v="0.1"/>
    <s v="USB-C Hub"/>
    <x v="0"/>
    <n v="40"/>
    <s v="Customer 085"/>
    <x v="0"/>
    <x v="2"/>
    <n v="180"/>
    <n v="95"/>
    <n v="85"/>
  </r>
  <r>
    <s v="O0374"/>
    <x v="111"/>
    <s v="C006"/>
    <s v="P001"/>
    <n v="1"/>
    <n v="0"/>
    <s v="Laptop Stand"/>
    <x v="1"/>
    <n v="35"/>
    <s v="Customer 006"/>
    <x v="4"/>
    <x v="0"/>
    <n v="35"/>
    <n v="20"/>
    <n v="15"/>
  </r>
  <r>
    <s v="O0375"/>
    <x v="231"/>
    <s v="C099"/>
    <s v="P010"/>
    <n v="3"/>
    <n v="0.05"/>
    <s v="USB-C Hub"/>
    <x v="0"/>
    <n v="40"/>
    <s v="Customer 099"/>
    <x v="1"/>
    <x v="2"/>
    <n v="114"/>
    <n v="57"/>
    <n v="57"/>
  </r>
  <r>
    <s v="O0376"/>
    <x v="10"/>
    <s v="C054"/>
    <s v="P010"/>
    <n v="1"/>
    <n v="0.15"/>
    <s v="USB-C Hub"/>
    <x v="0"/>
    <n v="40"/>
    <s v="Customer 054"/>
    <x v="1"/>
    <x v="1"/>
    <n v="34"/>
    <n v="19"/>
    <n v="15"/>
  </r>
  <r>
    <s v="O0377"/>
    <x v="197"/>
    <s v="C070"/>
    <s v="P005"/>
    <n v="3"/>
    <n v="0.15"/>
    <s v="Water Bottle"/>
    <x v="2"/>
    <n v="18"/>
    <s v="Customer 070"/>
    <x v="5"/>
    <x v="0"/>
    <n v="45.9"/>
    <n v="21"/>
    <n v="24.9"/>
  </r>
  <r>
    <s v="O0378"/>
    <x v="95"/>
    <s v="C088"/>
    <s v="P007"/>
    <n v="3"/>
    <n v="0.15"/>
    <s v="Headphones"/>
    <x v="0"/>
    <n v="75"/>
    <s v="Customer 088"/>
    <x v="4"/>
    <x v="2"/>
    <n v="191.25"/>
    <n v="120"/>
    <n v="71.25"/>
  </r>
  <r>
    <s v="O0379"/>
    <x v="27"/>
    <s v="C089"/>
    <s v="P001"/>
    <n v="2"/>
    <n v="0.15"/>
    <s v="Laptop Stand"/>
    <x v="1"/>
    <n v="35"/>
    <s v="Customer 089"/>
    <x v="3"/>
    <x v="1"/>
    <n v="59.5"/>
    <n v="40"/>
    <n v="19.5"/>
  </r>
  <r>
    <s v="O0380"/>
    <x v="75"/>
    <s v="C062"/>
    <s v="P008"/>
    <n v="2"/>
    <n v="0.1"/>
    <s v="Notebook Pack"/>
    <x v="3"/>
    <n v="12"/>
    <s v="Customer 062"/>
    <x v="2"/>
    <x v="1"/>
    <n v="21.6"/>
    <n v="10"/>
    <n v="11.600000000000001"/>
  </r>
  <r>
    <s v="O0381"/>
    <x v="86"/>
    <s v="C019"/>
    <s v="P006"/>
    <n v="3"/>
    <n v="0.1"/>
    <s v="Backpack"/>
    <x v="2"/>
    <n v="55"/>
    <s v="Customer 019"/>
    <x v="5"/>
    <x v="0"/>
    <n v="148.5"/>
    <n v="81"/>
    <n v="67.5"/>
  </r>
  <r>
    <s v="O0382"/>
    <x v="47"/>
    <s v="C017"/>
    <s v="P006"/>
    <n v="5"/>
    <n v="0"/>
    <s v="Backpack"/>
    <x v="2"/>
    <n v="55"/>
    <s v="Customer 017"/>
    <x v="2"/>
    <x v="0"/>
    <n v="275"/>
    <n v="135"/>
    <n v="140"/>
  </r>
  <r>
    <s v="O0383"/>
    <x v="236"/>
    <s v="C031"/>
    <s v="P008"/>
    <n v="1"/>
    <n v="0.1"/>
    <s v="Notebook Pack"/>
    <x v="3"/>
    <n v="12"/>
    <s v="Customer 031"/>
    <x v="0"/>
    <x v="0"/>
    <n v="10.8"/>
    <n v="5"/>
    <n v="5.8000000000000007"/>
  </r>
  <r>
    <s v="O0384"/>
    <x v="237"/>
    <s v="C032"/>
    <s v="P003"/>
    <n v="1"/>
    <n v="0"/>
    <s v="Keyboard"/>
    <x v="0"/>
    <n v="45"/>
    <s v="Customer 032"/>
    <x v="3"/>
    <x v="2"/>
    <n v="45"/>
    <n v="22"/>
    <n v="23"/>
  </r>
  <r>
    <s v="O0385"/>
    <x v="238"/>
    <s v="C050"/>
    <s v="P010"/>
    <n v="4"/>
    <n v="0.05"/>
    <s v="USB-C Hub"/>
    <x v="0"/>
    <n v="40"/>
    <s v="Customer 050"/>
    <x v="2"/>
    <x v="2"/>
    <n v="152"/>
    <n v="76"/>
    <n v="76"/>
  </r>
  <r>
    <s v="O0386"/>
    <x v="69"/>
    <s v="C042"/>
    <s v="P010"/>
    <n v="3"/>
    <n v="0.05"/>
    <s v="USB-C Hub"/>
    <x v="0"/>
    <n v="40"/>
    <s v="Customer 042"/>
    <x v="0"/>
    <x v="1"/>
    <n v="114"/>
    <n v="57"/>
    <n v="57"/>
  </r>
  <r>
    <s v="O0387"/>
    <x v="69"/>
    <s v="C064"/>
    <s v="P009"/>
    <n v="4"/>
    <n v="0.15"/>
    <s v="Office Chair"/>
    <x v="1"/>
    <n v="180"/>
    <s v="Customer 064"/>
    <x v="5"/>
    <x v="0"/>
    <n v="612"/>
    <n v="420"/>
    <n v="192"/>
  </r>
  <r>
    <s v="O0388"/>
    <x v="120"/>
    <s v="C064"/>
    <s v="P001"/>
    <n v="1"/>
    <n v="0.15"/>
    <s v="Laptop Stand"/>
    <x v="1"/>
    <n v="35"/>
    <s v="Customer 064"/>
    <x v="5"/>
    <x v="0"/>
    <n v="29.75"/>
    <n v="20"/>
    <n v="9.75"/>
  </r>
  <r>
    <s v="O0389"/>
    <x v="177"/>
    <s v="C059"/>
    <s v="P004"/>
    <n v="2"/>
    <n v="0.1"/>
    <s v="Desk Lamp"/>
    <x v="1"/>
    <n v="30"/>
    <s v="Customer 059"/>
    <x v="0"/>
    <x v="1"/>
    <n v="54"/>
    <n v="30"/>
    <n v="24"/>
  </r>
  <r>
    <s v="O0390"/>
    <x v="226"/>
    <s v="C007"/>
    <s v="P005"/>
    <n v="4"/>
    <n v="0.15"/>
    <s v="Water Bottle"/>
    <x v="2"/>
    <n v="18"/>
    <s v="Customer 007"/>
    <x v="3"/>
    <x v="1"/>
    <n v="61.199999999999996"/>
    <n v="28"/>
    <n v="33.199999999999996"/>
  </r>
  <r>
    <s v="O0391"/>
    <x v="72"/>
    <s v="C069"/>
    <s v="P001"/>
    <n v="1"/>
    <n v="0.15"/>
    <s v="Laptop Stand"/>
    <x v="1"/>
    <n v="35"/>
    <s v="Customer 069"/>
    <x v="0"/>
    <x v="1"/>
    <n v="29.75"/>
    <n v="20"/>
    <n v="9.75"/>
  </r>
  <r>
    <s v="O0392"/>
    <x v="67"/>
    <s v="C034"/>
    <s v="P006"/>
    <n v="4"/>
    <n v="0.1"/>
    <s v="Backpack"/>
    <x v="2"/>
    <n v="55"/>
    <s v="Customer 034"/>
    <x v="4"/>
    <x v="1"/>
    <n v="198"/>
    <n v="108"/>
    <n v="90"/>
  </r>
  <r>
    <s v="O0393"/>
    <x v="239"/>
    <s v="C052"/>
    <s v="P001"/>
    <n v="5"/>
    <n v="0.05"/>
    <s v="Laptop Stand"/>
    <x v="1"/>
    <n v="35"/>
    <s v="Customer 052"/>
    <x v="3"/>
    <x v="1"/>
    <n v="166.25"/>
    <n v="100"/>
    <n v="66.25"/>
  </r>
  <r>
    <s v="O0394"/>
    <x v="93"/>
    <s v="C071"/>
    <s v="P005"/>
    <n v="1"/>
    <n v="0.15"/>
    <s v="Water Bottle"/>
    <x v="2"/>
    <n v="18"/>
    <s v="Customer 071"/>
    <x v="2"/>
    <x v="1"/>
    <n v="15.299999999999999"/>
    <n v="7"/>
    <n v="8.2999999999999989"/>
  </r>
  <r>
    <s v="O0395"/>
    <x v="177"/>
    <s v="C058"/>
    <s v="P009"/>
    <n v="3"/>
    <n v="0"/>
    <s v="Office Chair"/>
    <x v="1"/>
    <n v="180"/>
    <s v="Customer 058"/>
    <x v="3"/>
    <x v="0"/>
    <n v="540"/>
    <n v="315"/>
    <n v="225"/>
  </r>
  <r>
    <s v="O0396"/>
    <x v="232"/>
    <s v="C013"/>
    <s v="P007"/>
    <n v="3"/>
    <n v="0.1"/>
    <s v="Headphones"/>
    <x v="0"/>
    <n v="75"/>
    <s v="Customer 013"/>
    <x v="3"/>
    <x v="1"/>
    <n v="202.5"/>
    <n v="120"/>
    <n v="82.5"/>
  </r>
  <r>
    <s v="O0397"/>
    <x v="112"/>
    <s v="C047"/>
    <s v="P003"/>
    <n v="2"/>
    <n v="0.15"/>
    <s v="Keyboard"/>
    <x v="0"/>
    <n v="45"/>
    <s v="Customer 047"/>
    <x v="5"/>
    <x v="0"/>
    <n v="76.5"/>
    <n v="44"/>
    <n v="32.5"/>
  </r>
  <r>
    <s v="O0398"/>
    <x v="122"/>
    <s v="C006"/>
    <s v="P001"/>
    <n v="1"/>
    <n v="0.05"/>
    <s v="Laptop Stand"/>
    <x v="1"/>
    <n v="35"/>
    <s v="Customer 006"/>
    <x v="4"/>
    <x v="0"/>
    <n v="33.25"/>
    <n v="20"/>
    <n v="13.25"/>
  </r>
  <r>
    <s v="O0399"/>
    <x v="138"/>
    <s v="C061"/>
    <s v="P009"/>
    <n v="4"/>
    <n v="0.05"/>
    <s v="Office Chair"/>
    <x v="1"/>
    <n v="180"/>
    <s v="Customer 061"/>
    <x v="2"/>
    <x v="0"/>
    <n v="684"/>
    <n v="420"/>
    <n v="264"/>
  </r>
  <r>
    <s v="O0400"/>
    <x v="86"/>
    <s v="C066"/>
    <s v="P003"/>
    <n v="3"/>
    <n v="0.1"/>
    <s v="Keyboard"/>
    <x v="0"/>
    <n v="45"/>
    <s v="Customer 066"/>
    <x v="0"/>
    <x v="0"/>
    <n v="121.5"/>
    <n v="66"/>
    <n v="55.5"/>
  </r>
  <r>
    <s v="O0401"/>
    <x v="240"/>
    <s v="C051"/>
    <s v="P010"/>
    <n v="3"/>
    <n v="0.1"/>
    <s v="USB-C Hub"/>
    <x v="0"/>
    <n v="40"/>
    <s v="Customer 051"/>
    <x v="4"/>
    <x v="0"/>
    <n v="108"/>
    <n v="57"/>
    <n v="51"/>
  </r>
  <r>
    <s v="O0402"/>
    <x v="241"/>
    <s v="C066"/>
    <s v="P009"/>
    <n v="4"/>
    <n v="0.1"/>
    <s v="Office Chair"/>
    <x v="1"/>
    <n v="180"/>
    <s v="Customer 066"/>
    <x v="0"/>
    <x v="0"/>
    <n v="648"/>
    <n v="420"/>
    <n v="228"/>
  </r>
  <r>
    <s v="O0403"/>
    <x v="63"/>
    <s v="C003"/>
    <s v="P006"/>
    <n v="3"/>
    <n v="0"/>
    <s v="Backpack"/>
    <x v="2"/>
    <n v="55"/>
    <s v="Customer 003"/>
    <x v="0"/>
    <x v="1"/>
    <n v="165"/>
    <n v="81"/>
    <n v="84"/>
  </r>
  <r>
    <s v="O0404"/>
    <x v="242"/>
    <s v="C075"/>
    <s v="P005"/>
    <n v="1"/>
    <n v="0.15"/>
    <s v="Water Bottle"/>
    <x v="2"/>
    <n v="18"/>
    <s v="Customer 075"/>
    <x v="2"/>
    <x v="0"/>
    <n v="15.299999999999999"/>
    <n v="7"/>
    <n v="8.2999999999999989"/>
  </r>
  <r>
    <s v="O0405"/>
    <x v="116"/>
    <s v="C084"/>
    <s v="P010"/>
    <n v="5"/>
    <n v="0.05"/>
    <s v="USB-C Hub"/>
    <x v="0"/>
    <n v="40"/>
    <s v="Customer 084"/>
    <x v="0"/>
    <x v="1"/>
    <n v="190"/>
    <n v="95"/>
    <n v="95"/>
  </r>
  <r>
    <s v="O0406"/>
    <x v="182"/>
    <s v="C075"/>
    <s v="P008"/>
    <n v="2"/>
    <n v="0.15"/>
    <s v="Notebook Pack"/>
    <x v="3"/>
    <n v="12"/>
    <s v="Customer 075"/>
    <x v="2"/>
    <x v="0"/>
    <n v="20.399999999999999"/>
    <n v="10"/>
    <n v="10.399999999999999"/>
  </r>
  <r>
    <s v="O0407"/>
    <x v="243"/>
    <s v="C088"/>
    <s v="P004"/>
    <n v="1"/>
    <n v="0"/>
    <s v="Desk Lamp"/>
    <x v="1"/>
    <n v="30"/>
    <s v="Customer 088"/>
    <x v="4"/>
    <x v="2"/>
    <n v="30"/>
    <n v="15"/>
    <n v="15"/>
  </r>
  <r>
    <s v="O0408"/>
    <x v="244"/>
    <s v="C003"/>
    <s v="P008"/>
    <n v="3"/>
    <n v="0.15"/>
    <s v="Notebook Pack"/>
    <x v="3"/>
    <n v="12"/>
    <s v="Customer 003"/>
    <x v="0"/>
    <x v="1"/>
    <n v="30.599999999999998"/>
    <n v="15"/>
    <n v="15.599999999999998"/>
  </r>
  <r>
    <s v="O0409"/>
    <x v="245"/>
    <s v="C053"/>
    <s v="P004"/>
    <n v="4"/>
    <n v="0.15"/>
    <s v="Desk Lamp"/>
    <x v="1"/>
    <n v="30"/>
    <s v="Customer 053"/>
    <x v="4"/>
    <x v="2"/>
    <n v="102"/>
    <n v="60"/>
    <n v="42"/>
  </r>
  <r>
    <s v="O0410"/>
    <x v="168"/>
    <s v="C091"/>
    <s v="P003"/>
    <n v="5"/>
    <n v="0.05"/>
    <s v="Keyboard"/>
    <x v="0"/>
    <n v="45"/>
    <s v="Customer 091"/>
    <x v="4"/>
    <x v="2"/>
    <n v="213.75"/>
    <n v="110"/>
    <n v="103.75"/>
  </r>
  <r>
    <s v="O0411"/>
    <x v="38"/>
    <s v="C042"/>
    <s v="P008"/>
    <n v="5"/>
    <n v="0.15"/>
    <s v="Notebook Pack"/>
    <x v="3"/>
    <n v="12"/>
    <s v="Customer 042"/>
    <x v="0"/>
    <x v="1"/>
    <n v="51"/>
    <n v="25"/>
    <n v="26"/>
  </r>
  <r>
    <s v="O0412"/>
    <x v="51"/>
    <s v="C023"/>
    <s v="P008"/>
    <n v="5"/>
    <n v="0.1"/>
    <s v="Notebook Pack"/>
    <x v="3"/>
    <n v="12"/>
    <s v="Customer 023"/>
    <x v="1"/>
    <x v="1"/>
    <n v="54"/>
    <n v="25"/>
    <n v="29"/>
  </r>
  <r>
    <s v="O0413"/>
    <x v="39"/>
    <s v="C046"/>
    <s v="P005"/>
    <n v="5"/>
    <n v="0.15"/>
    <s v="Water Bottle"/>
    <x v="2"/>
    <n v="18"/>
    <s v="Customer 046"/>
    <x v="3"/>
    <x v="0"/>
    <n v="76.5"/>
    <n v="35"/>
    <n v="41.5"/>
  </r>
  <r>
    <s v="O0414"/>
    <x v="246"/>
    <s v="C032"/>
    <s v="P005"/>
    <n v="5"/>
    <n v="0.1"/>
    <s v="Water Bottle"/>
    <x v="2"/>
    <n v="18"/>
    <s v="Customer 032"/>
    <x v="3"/>
    <x v="2"/>
    <n v="81"/>
    <n v="35"/>
    <n v="46"/>
  </r>
  <r>
    <s v="O0415"/>
    <x v="133"/>
    <s v="C039"/>
    <s v="P005"/>
    <n v="2"/>
    <n v="0.15"/>
    <s v="Water Bottle"/>
    <x v="2"/>
    <n v="18"/>
    <s v="Customer 039"/>
    <x v="0"/>
    <x v="2"/>
    <n v="30.599999999999998"/>
    <n v="14"/>
    <n v="16.599999999999998"/>
  </r>
  <r>
    <s v="O0416"/>
    <x v="145"/>
    <s v="C062"/>
    <s v="P006"/>
    <n v="5"/>
    <n v="0.1"/>
    <s v="Backpack"/>
    <x v="2"/>
    <n v="55"/>
    <s v="Customer 062"/>
    <x v="2"/>
    <x v="1"/>
    <n v="247.5"/>
    <n v="135"/>
    <n v="112.5"/>
  </r>
  <r>
    <s v="O0417"/>
    <x v="247"/>
    <s v="C016"/>
    <s v="P010"/>
    <n v="5"/>
    <n v="0.15"/>
    <s v="USB-C Hub"/>
    <x v="0"/>
    <n v="40"/>
    <s v="Customer 016"/>
    <x v="2"/>
    <x v="1"/>
    <n v="170"/>
    <n v="95"/>
    <n v="75"/>
  </r>
  <r>
    <s v="O0418"/>
    <x v="26"/>
    <s v="C045"/>
    <s v="P003"/>
    <n v="3"/>
    <n v="0"/>
    <s v="Keyboard"/>
    <x v="0"/>
    <n v="45"/>
    <s v="Customer 045"/>
    <x v="4"/>
    <x v="1"/>
    <n v="135"/>
    <n v="66"/>
    <n v="69"/>
  </r>
  <r>
    <s v="O0419"/>
    <x v="247"/>
    <s v="C092"/>
    <s v="P002"/>
    <n v="3"/>
    <n v="0.15"/>
    <s v="Wireless Mouse"/>
    <x v="0"/>
    <n v="25"/>
    <s v="Customer 092"/>
    <x v="4"/>
    <x v="0"/>
    <n v="63.75"/>
    <n v="36"/>
    <n v="27.75"/>
  </r>
  <r>
    <s v="O0420"/>
    <x v="178"/>
    <s v="C033"/>
    <s v="P008"/>
    <n v="2"/>
    <n v="0.05"/>
    <s v="Notebook Pack"/>
    <x v="3"/>
    <n v="12"/>
    <s v="Customer 033"/>
    <x v="3"/>
    <x v="1"/>
    <n v="22.799999999999997"/>
    <n v="10"/>
    <n v="12.799999999999997"/>
  </r>
  <r>
    <s v="O0421"/>
    <x v="248"/>
    <s v="C035"/>
    <s v="P009"/>
    <n v="3"/>
    <n v="0.05"/>
    <s v="Office Chair"/>
    <x v="1"/>
    <n v="180"/>
    <s v="Customer 035"/>
    <x v="1"/>
    <x v="0"/>
    <n v="513"/>
    <n v="315"/>
    <n v="198"/>
  </r>
  <r>
    <s v="O0422"/>
    <x v="87"/>
    <s v="C079"/>
    <s v="P010"/>
    <n v="2"/>
    <n v="0.05"/>
    <s v="USB-C Hub"/>
    <x v="0"/>
    <n v="40"/>
    <s v="Customer 079"/>
    <x v="0"/>
    <x v="0"/>
    <n v="76"/>
    <n v="38"/>
    <n v="38"/>
  </r>
  <r>
    <s v="O0423"/>
    <x v="66"/>
    <s v="C086"/>
    <s v="P009"/>
    <n v="2"/>
    <n v="0.05"/>
    <s v="Office Chair"/>
    <x v="1"/>
    <n v="180"/>
    <s v="Customer 086"/>
    <x v="5"/>
    <x v="2"/>
    <n v="342"/>
    <n v="210"/>
    <n v="132"/>
  </r>
  <r>
    <s v="O0424"/>
    <x v="182"/>
    <s v="C013"/>
    <s v="P007"/>
    <n v="3"/>
    <n v="0.15"/>
    <s v="Headphones"/>
    <x v="0"/>
    <n v="75"/>
    <s v="Customer 013"/>
    <x v="3"/>
    <x v="1"/>
    <n v="191.25"/>
    <n v="120"/>
    <n v="71.25"/>
  </r>
  <r>
    <s v="O0425"/>
    <x v="104"/>
    <s v="C088"/>
    <s v="P003"/>
    <n v="1"/>
    <n v="0.05"/>
    <s v="Keyboard"/>
    <x v="0"/>
    <n v="45"/>
    <s v="Customer 088"/>
    <x v="4"/>
    <x v="2"/>
    <n v="42.75"/>
    <n v="22"/>
    <n v="20.75"/>
  </r>
  <r>
    <s v="O0426"/>
    <x v="11"/>
    <s v="C084"/>
    <s v="P008"/>
    <n v="4"/>
    <n v="0.05"/>
    <s v="Notebook Pack"/>
    <x v="3"/>
    <n v="12"/>
    <s v="Customer 084"/>
    <x v="0"/>
    <x v="1"/>
    <n v="45.599999999999994"/>
    <n v="20"/>
    <n v="25.599999999999994"/>
  </r>
  <r>
    <s v="O0427"/>
    <x v="247"/>
    <s v="C042"/>
    <s v="P005"/>
    <n v="1"/>
    <n v="0"/>
    <s v="Water Bottle"/>
    <x v="2"/>
    <n v="18"/>
    <s v="Customer 042"/>
    <x v="0"/>
    <x v="1"/>
    <n v="18"/>
    <n v="7"/>
    <n v="11"/>
  </r>
  <r>
    <s v="O0428"/>
    <x v="84"/>
    <s v="C074"/>
    <s v="P004"/>
    <n v="5"/>
    <n v="0"/>
    <s v="Desk Lamp"/>
    <x v="1"/>
    <n v="30"/>
    <s v="Customer 074"/>
    <x v="5"/>
    <x v="0"/>
    <n v="150"/>
    <n v="75"/>
    <n v="75"/>
  </r>
  <r>
    <s v="O0429"/>
    <x v="158"/>
    <s v="C054"/>
    <s v="P003"/>
    <n v="1"/>
    <n v="0.15"/>
    <s v="Keyboard"/>
    <x v="0"/>
    <n v="45"/>
    <s v="Customer 054"/>
    <x v="1"/>
    <x v="1"/>
    <n v="38.25"/>
    <n v="22"/>
    <n v="16.25"/>
  </r>
  <r>
    <s v="O0430"/>
    <x v="141"/>
    <s v="C024"/>
    <s v="P005"/>
    <n v="1"/>
    <n v="0"/>
    <s v="Water Bottle"/>
    <x v="2"/>
    <n v="18"/>
    <s v="Customer 024"/>
    <x v="2"/>
    <x v="1"/>
    <n v="18"/>
    <n v="7"/>
    <n v="11"/>
  </r>
  <r>
    <s v="O0431"/>
    <x v="249"/>
    <s v="C073"/>
    <s v="P010"/>
    <n v="1"/>
    <n v="0.1"/>
    <s v="USB-C Hub"/>
    <x v="0"/>
    <n v="40"/>
    <s v="Customer 073"/>
    <x v="5"/>
    <x v="0"/>
    <n v="36"/>
    <n v="19"/>
    <n v="17"/>
  </r>
  <r>
    <s v="O0432"/>
    <x v="29"/>
    <s v="C059"/>
    <s v="P009"/>
    <n v="5"/>
    <n v="0.15"/>
    <s v="Office Chair"/>
    <x v="1"/>
    <n v="180"/>
    <s v="Customer 059"/>
    <x v="0"/>
    <x v="1"/>
    <n v="765"/>
    <n v="525"/>
    <n v="240"/>
  </r>
  <r>
    <s v="O0433"/>
    <x v="67"/>
    <s v="C065"/>
    <s v="P008"/>
    <n v="3"/>
    <n v="0.05"/>
    <s v="Notebook Pack"/>
    <x v="3"/>
    <n v="12"/>
    <s v="Customer 065"/>
    <x v="3"/>
    <x v="0"/>
    <n v="34.199999999999996"/>
    <n v="15"/>
    <n v="19.199999999999996"/>
  </r>
  <r>
    <s v="O0434"/>
    <x v="250"/>
    <s v="C043"/>
    <s v="P003"/>
    <n v="4"/>
    <n v="0.1"/>
    <s v="Keyboard"/>
    <x v="0"/>
    <n v="45"/>
    <s v="Customer 043"/>
    <x v="4"/>
    <x v="2"/>
    <n v="162"/>
    <n v="88"/>
    <n v="74"/>
  </r>
  <r>
    <s v="O0435"/>
    <x v="251"/>
    <s v="C002"/>
    <s v="P006"/>
    <n v="3"/>
    <n v="0.05"/>
    <s v="Backpack"/>
    <x v="2"/>
    <n v="55"/>
    <s v="Customer 002"/>
    <x v="1"/>
    <x v="0"/>
    <n v="156.75"/>
    <n v="81"/>
    <n v="75.75"/>
  </r>
  <r>
    <s v="O0436"/>
    <x v="158"/>
    <s v="C079"/>
    <s v="P007"/>
    <n v="4"/>
    <n v="0.1"/>
    <s v="Headphones"/>
    <x v="0"/>
    <n v="75"/>
    <s v="Customer 079"/>
    <x v="0"/>
    <x v="0"/>
    <n v="270"/>
    <n v="160"/>
    <n v="110"/>
  </r>
  <r>
    <s v="O0437"/>
    <x v="252"/>
    <s v="C052"/>
    <s v="P002"/>
    <n v="2"/>
    <n v="0.05"/>
    <s v="Wireless Mouse"/>
    <x v="0"/>
    <n v="25"/>
    <s v="Customer 052"/>
    <x v="3"/>
    <x v="1"/>
    <n v="47.5"/>
    <n v="24"/>
    <n v="23.5"/>
  </r>
  <r>
    <s v="O0438"/>
    <x v="77"/>
    <s v="C042"/>
    <s v="P004"/>
    <n v="1"/>
    <n v="0.1"/>
    <s v="Desk Lamp"/>
    <x v="1"/>
    <n v="30"/>
    <s v="Customer 042"/>
    <x v="0"/>
    <x v="1"/>
    <n v="27"/>
    <n v="15"/>
    <n v="12"/>
  </r>
  <r>
    <s v="O0439"/>
    <x v="74"/>
    <s v="C031"/>
    <s v="P008"/>
    <n v="3"/>
    <n v="0.1"/>
    <s v="Notebook Pack"/>
    <x v="3"/>
    <n v="12"/>
    <s v="Customer 031"/>
    <x v="0"/>
    <x v="0"/>
    <n v="32.4"/>
    <n v="15"/>
    <n v="17.399999999999999"/>
  </r>
  <r>
    <s v="O0440"/>
    <x v="191"/>
    <s v="C075"/>
    <s v="P010"/>
    <n v="1"/>
    <n v="0.1"/>
    <s v="USB-C Hub"/>
    <x v="0"/>
    <n v="40"/>
    <s v="Customer 075"/>
    <x v="2"/>
    <x v="0"/>
    <n v="36"/>
    <n v="19"/>
    <n v="17"/>
  </r>
  <r>
    <s v="O0441"/>
    <x v="253"/>
    <s v="C047"/>
    <s v="P004"/>
    <n v="1"/>
    <n v="0"/>
    <s v="Desk Lamp"/>
    <x v="1"/>
    <n v="30"/>
    <s v="Customer 047"/>
    <x v="5"/>
    <x v="0"/>
    <n v="30"/>
    <n v="15"/>
    <n v="15"/>
  </r>
  <r>
    <s v="O0442"/>
    <x v="60"/>
    <s v="C040"/>
    <s v="P003"/>
    <n v="4"/>
    <n v="0.1"/>
    <s v="Keyboard"/>
    <x v="0"/>
    <n v="45"/>
    <s v="Customer 040"/>
    <x v="4"/>
    <x v="2"/>
    <n v="162"/>
    <n v="88"/>
    <n v="74"/>
  </r>
  <r>
    <s v="O0443"/>
    <x v="153"/>
    <s v="C016"/>
    <s v="P005"/>
    <n v="3"/>
    <n v="0.05"/>
    <s v="Water Bottle"/>
    <x v="2"/>
    <n v="18"/>
    <s v="Customer 016"/>
    <x v="2"/>
    <x v="1"/>
    <n v="51.3"/>
    <n v="21"/>
    <n v="30.299999999999997"/>
  </r>
  <r>
    <s v="O0444"/>
    <x v="155"/>
    <s v="C018"/>
    <s v="P008"/>
    <n v="2"/>
    <n v="0.15"/>
    <s v="Notebook Pack"/>
    <x v="3"/>
    <n v="12"/>
    <s v="Customer 018"/>
    <x v="0"/>
    <x v="1"/>
    <n v="20.399999999999999"/>
    <n v="10"/>
    <n v="10.399999999999999"/>
  </r>
  <r>
    <s v="O0445"/>
    <x v="86"/>
    <s v="C048"/>
    <s v="P007"/>
    <n v="5"/>
    <n v="0.15"/>
    <s v="Headphones"/>
    <x v="0"/>
    <n v="75"/>
    <s v="Customer 048"/>
    <x v="4"/>
    <x v="1"/>
    <n v="318.75"/>
    <n v="200"/>
    <n v="118.75"/>
  </r>
  <r>
    <s v="O0446"/>
    <x v="248"/>
    <s v="C086"/>
    <s v="P004"/>
    <n v="2"/>
    <n v="0"/>
    <s v="Desk Lamp"/>
    <x v="1"/>
    <n v="30"/>
    <s v="Customer 086"/>
    <x v="5"/>
    <x v="2"/>
    <n v="60"/>
    <n v="30"/>
    <n v="30"/>
  </r>
  <r>
    <s v="O0447"/>
    <x v="171"/>
    <s v="C058"/>
    <s v="P009"/>
    <n v="3"/>
    <n v="0"/>
    <s v="Office Chair"/>
    <x v="1"/>
    <n v="180"/>
    <s v="Customer 058"/>
    <x v="3"/>
    <x v="0"/>
    <n v="540"/>
    <n v="315"/>
    <n v="225"/>
  </r>
  <r>
    <s v="O0448"/>
    <x v="111"/>
    <s v="C015"/>
    <s v="P001"/>
    <n v="5"/>
    <n v="0.05"/>
    <s v="Laptop Stand"/>
    <x v="1"/>
    <n v="35"/>
    <s v="Customer 015"/>
    <x v="4"/>
    <x v="0"/>
    <n v="166.25"/>
    <n v="100"/>
    <n v="66.25"/>
  </r>
  <r>
    <s v="O0449"/>
    <x v="107"/>
    <s v="C069"/>
    <s v="P003"/>
    <n v="2"/>
    <n v="0.1"/>
    <s v="Keyboard"/>
    <x v="0"/>
    <n v="45"/>
    <s v="Customer 069"/>
    <x v="0"/>
    <x v="1"/>
    <n v="81"/>
    <n v="44"/>
    <n v="37"/>
  </r>
  <r>
    <s v="O0450"/>
    <x v="254"/>
    <s v="C057"/>
    <s v="P002"/>
    <n v="2"/>
    <n v="0.15"/>
    <s v="Wireless Mouse"/>
    <x v="0"/>
    <n v="25"/>
    <s v="Customer 057"/>
    <x v="1"/>
    <x v="1"/>
    <n v="42.5"/>
    <n v="24"/>
    <n v="18.5"/>
  </r>
  <r>
    <s v="O0451"/>
    <x v="147"/>
    <s v="C066"/>
    <s v="P008"/>
    <n v="1"/>
    <n v="0.15"/>
    <s v="Notebook Pack"/>
    <x v="3"/>
    <n v="12"/>
    <s v="Customer 066"/>
    <x v="0"/>
    <x v="0"/>
    <n v="10.199999999999999"/>
    <n v="5"/>
    <n v="5.1999999999999993"/>
  </r>
  <r>
    <s v="O0452"/>
    <x v="28"/>
    <s v="C066"/>
    <s v="P007"/>
    <n v="4"/>
    <n v="0"/>
    <s v="Headphones"/>
    <x v="0"/>
    <n v="75"/>
    <s v="Customer 066"/>
    <x v="0"/>
    <x v="0"/>
    <n v="300"/>
    <n v="160"/>
    <n v="140"/>
  </r>
  <r>
    <s v="O0453"/>
    <x v="255"/>
    <s v="C060"/>
    <s v="P005"/>
    <n v="1"/>
    <n v="0.15"/>
    <s v="Water Bottle"/>
    <x v="2"/>
    <n v="18"/>
    <s v="Customer 060"/>
    <x v="4"/>
    <x v="2"/>
    <n v="15.299999999999999"/>
    <n v="7"/>
    <n v="8.2999999999999989"/>
  </r>
  <r>
    <s v="O0454"/>
    <x v="256"/>
    <s v="C001"/>
    <s v="P004"/>
    <n v="5"/>
    <n v="0"/>
    <s v="Desk Lamp"/>
    <x v="1"/>
    <n v="30"/>
    <s v="Customer 001"/>
    <x v="4"/>
    <x v="1"/>
    <n v="150"/>
    <n v="75"/>
    <n v="75"/>
  </r>
  <r>
    <s v="O0455"/>
    <x v="239"/>
    <s v="C055"/>
    <s v="P006"/>
    <n v="1"/>
    <n v="0"/>
    <s v="Backpack"/>
    <x v="2"/>
    <n v="55"/>
    <s v="Customer 055"/>
    <x v="1"/>
    <x v="2"/>
    <n v="55"/>
    <n v="27"/>
    <n v="28"/>
  </r>
  <r>
    <s v="O0456"/>
    <x v="135"/>
    <s v="C061"/>
    <s v="P001"/>
    <n v="3"/>
    <n v="0.15"/>
    <s v="Laptop Stand"/>
    <x v="1"/>
    <n v="35"/>
    <s v="Customer 061"/>
    <x v="2"/>
    <x v="0"/>
    <n v="89.25"/>
    <n v="60"/>
    <n v="29.25"/>
  </r>
  <r>
    <s v="O0457"/>
    <x v="204"/>
    <s v="C099"/>
    <s v="P003"/>
    <n v="4"/>
    <n v="0.1"/>
    <s v="Keyboard"/>
    <x v="0"/>
    <n v="45"/>
    <s v="Customer 099"/>
    <x v="1"/>
    <x v="2"/>
    <n v="162"/>
    <n v="88"/>
    <n v="74"/>
  </r>
  <r>
    <s v="O0458"/>
    <x v="176"/>
    <s v="C058"/>
    <s v="P007"/>
    <n v="4"/>
    <n v="0"/>
    <s v="Headphones"/>
    <x v="0"/>
    <n v="75"/>
    <s v="Customer 058"/>
    <x v="3"/>
    <x v="0"/>
    <n v="300"/>
    <n v="160"/>
    <n v="140"/>
  </r>
  <r>
    <s v="O0459"/>
    <x v="257"/>
    <s v="C085"/>
    <s v="P009"/>
    <n v="2"/>
    <n v="0.1"/>
    <s v="Office Chair"/>
    <x v="1"/>
    <n v="180"/>
    <s v="Customer 085"/>
    <x v="0"/>
    <x v="2"/>
    <n v="324"/>
    <n v="210"/>
    <n v="114"/>
  </r>
  <r>
    <s v="O0460"/>
    <x v="258"/>
    <s v="C023"/>
    <s v="P009"/>
    <n v="4"/>
    <n v="0.05"/>
    <s v="Office Chair"/>
    <x v="1"/>
    <n v="180"/>
    <s v="Customer 023"/>
    <x v="1"/>
    <x v="1"/>
    <n v="684"/>
    <n v="420"/>
    <n v="264"/>
  </r>
  <r>
    <s v="O0461"/>
    <x v="259"/>
    <s v="C001"/>
    <s v="P001"/>
    <n v="3"/>
    <n v="0.15"/>
    <s v="Laptop Stand"/>
    <x v="1"/>
    <n v="35"/>
    <s v="Customer 001"/>
    <x v="4"/>
    <x v="1"/>
    <n v="89.25"/>
    <n v="60"/>
    <n v="29.25"/>
  </r>
  <r>
    <s v="O0462"/>
    <x v="13"/>
    <s v="C093"/>
    <s v="P009"/>
    <n v="4"/>
    <n v="0.15"/>
    <s v="Office Chair"/>
    <x v="1"/>
    <n v="180"/>
    <s v="Customer 093"/>
    <x v="3"/>
    <x v="1"/>
    <n v="612"/>
    <n v="420"/>
    <n v="192"/>
  </r>
  <r>
    <s v="O0463"/>
    <x v="260"/>
    <s v="C032"/>
    <s v="P008"/>
    <n v="3"/>
    <n v="0.05"/>
    <s v="Notebook Pack"/>
    <x v="3"/>
    <n v="12"/>
    <s v="Customer 032"/>
    <x v="3"/>
    <x v="2"/>
    <n v="34.199999999999996"/>
    <n v="15"/>
    <n v="19.199999999999996"/>
  </r>
  <r>
    <s v="O0464"/>
    <x v="169"/>
    <s v="C025"/>
    <s v="P002"/>
    <n v="1"/>
    <n v="0.15"/>
    <s v="Wireless Mouse"/>
    <x v="0"/>
    <n v="25"/>
    <s v="Customer 025"/>
    <x v="0"/>
    <x v="2"/>
    <n v="21.25"/>
    <n v="12"/>
    <n v="9.25"/>
  </r>
  <r>
    <s v="O0465"/>
    <x v="261"/>
    <s v="C099"/>
    <s v="P001"/>
    <n v="2"/>
    <n v="0.05"/>
    <s v="Laptop Stand"/>
    <x v="1"/>
    <n v="35"/>
    <s v="Customer 099"/>
    <x v="1"/>
    <x v="2"/>
    <n v="66.5"/>
    <n v="40"/>
    <n v="26.5"/>
  </r>
  <r>
    <s v="O0466"/>
    <x v="262"/>
    <s v="C013"/>
    <s v="P010"/>
    <n v="1"/>
    <n v="0.15"/>
    <s v="USB-C Hub"/>
    <x v="0"/>
    <n v="40"/>
    <s v="Customer 013"/>
    <x v="3"/>
    <x v="1"/>
    <n v="34"/>
    <n v="19"/>
    <n v="15"/>
  </r>
  <r>
    <s v="O0467"/>
    <x v="123"/>
    <s v="C087"/>
    <s v="P001"/>
    <n v="2"/>
    <n v="0"/>
    <s v="Laptop Stand"/>
    <x v="1"/>
    <n v="35"/>
    <s v="Customer 087"/>
    <x v="1"/>
    <x v="0"/>
    <n v="70"/>
    <n v="40"/>
    <n v="30"/>
  </r>
  <r>
    <s v="O0468"/>
    <x v="174"/>
    <s v="C057"/>
    <s v="P004"/>
    <n v="5"/>
    <n v="0.05"/>
    <s v="Desk Lamp"/>
    <x v="1"/>
    <n v="30"/>
    <s v="Customer 057"/>
    <x v="1"/>
    <x v="1"/>
    <n v="142.5"/>
    <n v="75"/>
    <n v="67.5"/>
  </r>
  <r>
    <s v="O0469"/>
    <x v="263"/>
    <s v="C018"/>
    <s v="P009"/>
    <n v="3"/>
    <n v="0.05"/>
    <s v="Office Chair"/>
    <x v="1"/>
    <n v="180"/>
    <s v="Customer 018"/>
    <x v="0"/>
    <x v="1"/>
    <n v="513"/>
    <n v="315"/>
    <n v="198"/>
  </r>
  <r>
    <s v="O0470"/>
    <x v="264"/>
    <s v="C041"/>
    <s v="P010"/>
    <n v="5"/>
    <n v="0.1"/>
    <s v="USB-C Hub"/>
    <x v="0"/>
    <n v="40"/>
    <s v="Customer 041"/>
    <x v="5"/>
    <x v="2"/>
    <n v="180"/>
    <n v="95"/>
    <n v="85"/>
  </r>
  <r>
    <s v="O0471"/>
    <x v="42"/>
    <s v="C039"/>
    <s v="P003"/>
    <n v="5"/>
    <n v="0.05"/>
    <s v="Keyboard"/>
    <x v="0"/>
    <n v="45"/>
    <s v="Customer 039"/>
    <x v="0"/>
    <x v="2"/>
    <n v="213.75"/>
    <n v="110"/>
    <n v="103.75"/>
  </r>
  <r>
    <s v="O0472"/>
    <x v="128"/>
    <s v="C039"/>
    <s v="P005"/>
    <n v="1"/>
    <n v="0.05"/>
    <s v="Water Bottle"/>
    <x v="2"/>
    <n v="18"/>
    <s v="Customer 039"/>
    <x v="0"/>
    <x v="2"/>
    <n v="17.099999999999998"/>
    <n v="7"/>
    <n v="10.099999999999998"/>
  </r>
  <r>
    <s v="O0473"/>
    <x v="71"/>
    <s v="C087"/>
    <s v="P007"/>
    <n v="5"/>
    <n v="0.15"/>
    <s v="Headphones"/>
    <x v="0"/>
    <n v="75"/>
    <s v="Customer 087"/>
    <x v="1"/>
    <x v="0"/>
    <n v="318.75"/>
    <n v="200"/>
    <n v="118.75"/>
  </r>
  <r>
    <s v="O0474"/>
    <x v="226"/>
    <s v="C045"/>
    <s v="P007"/>
    <n v="5"/>
    <n v="0.1"/>
    <s v="Headphones"/>
    <x v="0"/>
    <n v="75"/>
    <s v="Customer 045"/>
    <x v="4"/>
    <x v="1"/>
    <n v="337.5"/>
    <n v="200"/>
    <n v="137.5"/>
  </r>
  <r>
    <s v="O0475"/>
    <x v="265"/>
    <s v="C054"/>
    <s v="P007"/>
    <n v="2"/>
    <n v="0.1"/>
    <s v="Headphones"/>
    <x v="0"/>
    <n v="75"/>
    <s v="Customer 054"/>
    <x v="1"/>
    <x v="1"/>
    <n v="135"/>
    <n v="80"/>
    <n v="55"/>
  </r>
  <r>
    <s v="O0476"/>
    <x v="188"/>
    <s v="C024"/>
    <s v="P009"/>
    <n v="4"/>
    <n v="0.05"/>
    <s v="Office Chair"/>
    <x v="1"/>
    <n v="180"/>
    <s v="Customer 024"/>
    <x v="2"/>
    <x v="1"/>
    <n v="684"/>
    <n v="420"/>
    <n v="264"/>
  </r>
  <r>
    <s v="O0477"/>
    <x v="133"/>
    <s v="C039"/>
    <s v="P003"/>
    <n v="4"/>
    <n v="0"/>
    <s v="Keyboard"/>
    <x v="0"/>
    <n v="45"/>
    <s v="Customer 039"/>
    <x v="0"/>
    <x v="2"/>
    <n v="180"/>
    <n v="88"/>
    <n v="92"/>
  </r>
  <r>
    <s v="O0478"/>
    <x v="38"/>
    <s v="C053"/>
    <s v="P007"/>
    <n v="5"/>
    <n v="0.05"/>
    <s v="Headphones"/>
    <x v="0"/>
    <n v="75"/>
    <s v="Customer 053"/>
    <x v="4"/>
    <x v="2"/>
    <n v="356.25"/>
    <n v="200"/>
    <n v="156.25"/>
  </r>
  <r>
    <s v="O0479"/>
    <x v="165"/>
    <s v="C032"/>
    <s v="P005"/>
    <n v="2"/>
    <n v="0.1"/>
    <s v="Water Bottle"/>
    <x v="2"/>
    <n v="18"/>
    <s v="Customer 032"/>
    <x v="3"/>
    <x v="2"/>
    <n v="32.4"/>
    <n v="14"/>
    <n v="18.399999999999999"/>
  </r>
  <r>
    <s v="O0480"/>
    <x v="162"/>
    <s v="C011"/>
    <s v="P008"/>
    <n v="3"/>
    <n v="0"/>
    <s v="Notebook Pack"/>
    <x v="3"/>
    <n v="12"/>
    <s v="Customer 011"/>
    <x v="5"/>
    <x v="0"/>
    <n v="36"/>
    <n v="15"/>
    <n v="21"/>
  </r>
  <r>
    <s v="O0481"/>
    <x v="15"/>
    <s v="C093"/>
    <s v="P004"/>
    <n v="1"/>
    <n v="0.1"/>
    <s v="Desk Lamp"/>
    <x v="1"/>
    <n v="30"/>
    <s v="Customer 093"/>
    <x v="3"/>
    <x v="1"/>
    <n v="27"/>
    <n v="15"/>
    <n v="12"/>
  </r>
  <r>
    <s v="O0482"/>
    <x v="266"/>
    <s v="C087"/>
    <s v="P010"/>
    <n v="5"/>
    <n v="0"/>
    <s v="USB-C Hub"/>
    <x v="0"/>
    <n v="40"/>
    <s v="Customer 087"/>
    <x v="1"/>
    <x v="0"/>
    <n v="200"/>
    <n v="95"/>
    <n v="105"/>
  </r>
  <r>
    <s v="O0483"/>
    <x v="27"/>
    <s v="C025"/>
    <s v="P010"/>
    <n v="5"/>
    <n v="0.05"/>
    <s v="USB-C Hub"/>
    <x v="0"/>
    <n v="40"/>
    <s v="Customer 025"/>
    <x v="0"/>
    <x v="2"/>
    <n v="190"/>
    <n v="95"/>
    <n v="95"/>
  </r>
  <r>
    <s v="O0484"/>
    <x v="267"/>
    <s v="C027"/>
    <s v="P006"/>
    <n v="3"/>
    <n v="0"/>
    <s v="Backpack"/>
    <x v="2"/>
    <n v="55"/>
    <s v="Customer 027"/>
    <x v="1"/>
    <x v="0"/>
    <n v="165"/>
    <n v="81"/>
    <n v="84"/>
  </r>
  <r>
    <s v="O0485"/>
    <x v="97"/>
    <s v="C025"/>
    <s v="P002"/>
    <n v="4"/>
    <n v="0.05"/>
    <s v="Wireless Mouse"/>
    <x v="0"/>
    <n v="25"/>
    <s v="Customer 025"/>
    <x v="0"/>
    <x v="2"/>
    <n v="95"/>
    <n v="48"/>
    <n v="47"/>
  </r>
  <r>
    <s v="O0486"/>
    <x v="265"/>
    <s v="C078"/>
    <s v="P004"/>
    <n v="4"/>
    <n v="0.05"/>
    <s v="Desk Lamp"/>
    <x v="1"/>
    <n v="30"/>
    <s v="Customer 078"/>
    <x v="2"/>
    <x v="0"/>
    <n v="114"/>
    <n v="60"/>
    <n v="54"/>
  </r>
  <r>
    <s v="O0487"/>
    <x v="132"/>
    <s v="C042"/>
    <s v="P005"/>
    <n v="4"/>
    <n v="0.15"/>
    <s v="Water Bottle"/>
    <x v="2"/>
    <n v="18"/>
    <s v="Customer 042"/>
    <x v="0"/>
    <x v="1"/>
    <n v="61.199999999999996"/>
    <n v="28"/>
    <n v="33.199999999999996"/>
  </r>
  <r>
    <s v="O0488"/>
    <x v="207"/>
    <s v="C084"/>
    <s v="P006"/>
    <n v="3"/>
    <n v="0.1"/>
    <s v="Backpack"/>
    <x v="2"/>
    <n v="55"/>
    <s v="Customer 084"/>
    <x v="0"/>
    <x v="1"/>
    <n v="148.5"/>
    <n v="81"/>
    <n v="67.5"/>
  </r>
  <r>
    <s v="O0489"/>
    <x v="268"/>
    <s v="C066"/>
    <s v="P008"/>
    <n v="4"/>
    <n v="0"/>
    <s v="Notebook Pack"/>
    <x v="3"/>
    <n v="12"/>
    <s v="Customer 066"/>
    <x v="0"/>
    <x v="0"/>
    <n v="48"/>
    <n v="20"/>
    <n v="28"/>
  </r>
  <r>
    <s v="O0490"/>
    <x v="45"/>
    <s v="C098"/>
    <s v="P006"/>
    <n v="2"/>
    <n v="0.1"/>
    <s v="Backpack"/>
    <x v="2"/>
    <n v="55"/>
    <s v="Customer 098"/>
    <x v="2"/>
    <x v="1"/>
    <n v="99"/>
    <n v="54"/>
    <n v="45"/>
  </r>
  <r>
    <s v="O0491"/>
    <x v="51"/>
    <s v="C053"/>
    <s v="P001"/>
    <n v="5"/>
    <n v="0.05"/>
    <s v="Laptop Stand"/>
    <x v="1"/>
    <n v="35"/>
    <s v="Customer 053"/>
    <x v="4"/>
    <x v="2"/>
    <n v="166.25"/>
    <n v="100"/>
    <n v="66.25"/>
  </r>
  <r>
    <s v="O0492"/>
    <x v="196"/>
    <s v="C003"/>
    <s v="P005"/>
    <n v="5"/>
    <n v="0.15"/>
    <s v="Water Bottle"/>
    <x v="2"/>
    <n v="18"/>
    <s v="Customer 003"/>
    <x v="0"/>
    <x v="1"/>
    <n v="76.5"/>
    <n v="35"/>
    <n v="41.5"/>
  </r>
  <r>
    <s v="O0493"/>
    <x v="269"/>
    <s v="C020"/>
    <s v="P004"/>
    <n v="3"/>
    <n v="0.05"/>
    <s v="Desk Lamp"/>
    <x v="1"/>
    <n v="30"/>
    <s v="Customer 020"/>
    <x v="2"/>
    <x v="2"/>
    <n v="85.5"/>
    <n v="45"/>
    <n v="40.5"/>
  </r>
  <r>
    <s v="O0494"/>
    <x v="270"/>
    <s v="C073"/>
    <s v="P004"/>
    <n v="4"/>
    <n v="0.1"/>
    <s v="Desk Lamp"/>
    <x v="1"/>
    <n v="30"/>
    <s v="Customer 073"/>
    <x v="5"/>
    <x v="0"/>
    <n v="108"/>
    <n v="60"/>
    <n v="48"/>
  </r>
  <r>
    <s v="O0495"/>
    <x v="271"/>
    <s v="C098"/>
    <s v="P008"/>
    <n v="4"/>
    <n v="0.15"/>
    <s v="Notebook Pack"/>
    <x v="3"/>
    <n v="12"/>
    <s v="Customer 098"/>
    <x v="2"/>
    <x v="1"/>
    <n v="40.799999999999997"/>
    <n v="20"/>
    <n v="20.799999999999997"/>
  </r>
  <r>
    <s v="O0496"/>
    <x v="61"/>
    <s v="C094"/>
    <s v="P006"/>
    <n v="2"/>
    <n v="0.05"/>
    <s v="Backpack"/>
    <x v="2"/>
    <n v="55"/>
    <s v="Customer 094"/>
    <x v="5"/>
    <x v="2"/>
    <n v="104.5"/>
    <n v="54"/>
    <n v="50.5"/>
  </r>
  <r>
    <s v="O0497"/>
    <x v="39"/>
    <s v="C063"/>
    <s v="P003"/>
    <n v="5"/>
    <n v="0"/>
    <s v="Keyboard"/>
    <x v="0"/>
    <n v="45"/>
    <s v="Customer 063"/>
    <x v="0"/>
    <x v="1"/>
    <n v="225"/>
    <n v="110"/>
    <n v="115"/>
  </r>
  <r>
    <s v="O0498"/>
    <x v="220"/>
    <s v="C005"/>
    <s v="P002"/>
    <n v="1"/>
    <n v="0"/>
    <s v="Wireless Mouse"/>
    <x v="0"/>
    <n v="25"/>
    <s v="Customer 005"/>
    <x v="4"/>
    <x v="1"/>
    <n v="25"/>
    <n v="12"/>
    <n v="13"/>
  </r>
  <r>
    <s v="O0499"/>
    <x v="128"/>
    <s v="C018"/>
    <s v="P004"/>
    <n v="1"/>
    <n v="0.05"/>
    <s v="Desk Lamp"/>
    <x v="1"/>
    <n v="30"/>
    <s v="Customer 018"/>
    <x v="0"/>
    <x v="1"/>
    <n v="28.5"/>
    <n v="15"/>
    <n v="13.5"/>
  </r>
  <r>
    <s v="O0500"/>
    <x v="272"/>
    <s v="C028"/>
    <s v="P009"/>
    <n v="4"/>
    <n v="0.1"/>
    <s v="Office Chair"/>
    <x v="1"/>
    <n v="180"/>
    <s v="Customer 028"/>
    <x v="2"/>
    <x v="0"/>
    <n v="648"/>
    <n v="420"/>
    <n v="2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4ACEA-F241-4081-AC80-04DF41B7B27A}" name="Pivot_Category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7">
    <pivotField showAll="0"/>
    <pivotField numFmtId="14" showAll="0">
      <items count="274">
        <item x="136"/>
        <item x="7"/>
        <item x="272"/>
        <item x="92"/>
        <item x="142"/>
        <item x="6"/>
        <item x="154"/>
        <item x="161"/>
        <item x="124"/>
        <item x="49"/>
        <item x="228"/>
        <item x="8"/>
        <item x="50"/>
        <item x="41"/>
        <item x="193"/>
        <item x="36"/>
        <item x="239"/>
        <item x="226"/>
        <item x="66"/>
        <item x="182"/>
        <item x="263"/>
        <item x="0"/>
        <item x="168"/>
        <item x="216"/>
        <item x="175"/>
        <item x="262"/>
        <item x="135"/>
        <item x="119"/>
        <item x="27"/>
        <item x="143"/>
        <item x="199"/>
        <item x="150"/>
        <item x="202"/>
        <item x="252"/>
        <item x="126"/>
        <item x="147"/>
        <item x="17"/>
        <item x="104"/>
        <item x="89"/>
        <item x="183"/>
        <item x="32"/>
        <item x="87"/>
        <item x="214"/>
        <item x="250"/>
        <item x="109"/>
        <item x="163"/>
        <item x="258"/>
        <item x="5"/>
        <item x="215"/>
        <item x="121"/>
        <item x="229"/>
        <item x="232"/>
        <item x="233"/>
        <item x="28"/>
        <item x="67"/>
        <item x="224"/>
        <item x="211"/>
        <item x="196"/>
        <item x="243"/>
        <item x="137"/>
        <item x="245"/>
        <item x="205"/>
        <item x="20"/>
        <item x="69"/>
        <item x="37"/>
        <item x="240"/>
        <item x="18"/>
        <item x="148"/>
        <item x="61"/>
        <item x="235"/>
        <item x="117"/>
        <item x="158"/>
        <item x="94"/>
        <item x="43"/>
        <item x="204"/>
        <item x="251"/>
        <item x="244"/>
        <item x="246"/>
        <item x="62"/>
        <item x="225"/>
        <item x="130"/>
        <item x="59"/>
        <item x="97"/>
        <item x="230"/>
        <item x="103"/>
        <item x="155"/>
        <item x="259"/>
        <item x="133"/>
        <item x="260"/>
        <item x="140"/>
        <item x="167"/>
        <item x="42"/>
        <item x="219"/>
        <item x="195"/>
        <item x="95"/>
        <item x="70"/>
        <item x="35"/>
        <item x="222"/>
        <item x="256"/>
        <item x="271"/>
        <item x="25"/>
        <item x="116"/>
        <item x="44"/>
        <item x="187"/>
        <item x="105"/>
        <item x="169"/>
        <item x="9"/>
        <item x="33"/>
        <item x="29"/>
        <item x="72"/>
        <item x="247"/>
        <item x="238"/>
        <item x="218"/>
        <item x="269"/>
        <item x="249"/>
        <item x="191"/>
        <item x="46"/>
        <item x="120"/>
        <item x="157"/>
        <item x="4"/>
        <item x="51"/>
        <item x="102"/>
        <item x="145"/>
        <item x="236"/>
        <item x="139"/>
        <item x="234"/>
        <item x="149"/>
        <item x="192"/>
        <item x="138"/>
        <item x="14"/>
        <item x="108"/>
        <item x="201"/>
        <item x="223"/>
        <item x="125"/>
        <item x="48"/>
        <item x="198"/>
        <item x="12"/>
        <item x="170"/>
        <item x="268"/>
        <item x="93"/>
        <item x="54"/>
        <item x="208"/>
        <item x="189"/>
        <item x="188"/>
        <item x="266"/>
        <item x="270"/>
        <item x="176"/>
        <item x="74"/>
        <item x="52"/>
        <item x="165"/>
        <item x="221"/>
        <item x="81"/>
        <item x="26"/>
        <item x="88"/>
        <item x="47"/>
        <item x="174"/>
        <item x="127"/>
        <item x="58"/>
        <item x="11"/>
        <item x="118"/>
        <item x="128"/>
        <item x="75"/>
        <item x="242"/>
        <item x="78"/>
        <item x="83"/>
        <item x="65"/>
        <item x="185"/>
        <item x="40"/>
        <item x="210"/>
        <item x="131"/>
        <item x="68"/>
        <item x="206"/>
        <item x="101"/>
        <item x="237"/>
        <item x="179"/>
        <item x="19"/>
        <item x="173"/>
        <item x="200"/>
        <item x="96"/>
        <item x="60"/>
        <item x="80"/>
        <item x="45"/>
        <item x="85"/>
        <item x="63"/>
        <item x="77"/>
        <item x="267"/>
        <item x="160"/>
        <item x="1"/>
        <item x="79"/>
        <item x="100"/>
        <item x="164"/>
        <item x="141"/>
        <item x="151"/>
        <item x="134"/>
        <item x="122"/>
        <item x="172"/>
        <item x="177"/>
        <item x="241"/>
        <item x="203"/>
        <item x="99"/>
        <item x="227"/>
        <item x="254"/>
        <item x="113"/>
        <item x="220"/>
        <item x="171"/>
        <item x="3"/>
        <item x="159"/>
        <item x="207"/>
        <item x="15"/>
        <item x="248"/>
        <item x="73"/>
        <item x="39"/>
        <item x="213"/>
        <item x="16"/>
        <item x="132"/>
        <item x="56"/>
        <item x="180"/>
        <item x="112"/>
        <item x="255"/>
        <item x="38"/>
        <item x="111"/>
        <item x="90"/>
        <item x="23"/>
        <item x="10"/>
        <item x="107"/>
        <item x="264"/>
        <item x="110"/>
        <item x="21"/>
        <item x="76"/>
        <item x="166"/>
        <item x="114"/>
        <item x="22"/>
        <item x="98"/>
        <item x="123"/>
        <item x="86"/>
        <item x="186"/>
        <item x="115"/>
        <item x="30"/>
        <item x="261"/>
        <item x="146"/>
        <item x="24"/>
        <item x="129"/>
        <item x="71"/>
        <item x="197"/>
        <item x="64"/>
        <item x="217"/>
        <item x="152"/>
        <item x="231"/>
        <item x="82"/>
        <item x="162"/>
        <item x="144"/>
        <item x="84"/>
        <item x="253"/>
        <item x="178"/>
        <item x="184"/>
        <item x="2"/>
        <item x="91"/>
        <item x="31"/>
        <item x="55"/>
        <item x="181"/>
        <item x="13"/>
        <item x="190"/>
        <item x="57"/>
        <item x="156"/>
        <item x="257"/>
        <item x="34"/>
        <item x="153"/>
        <item x="265"/>
        <item x="106"/>
        <item x="212"/>
        <item x="53"/>
        <item x="194"/>
        <item x="209"/>
        <item t="default"/>
      </items>
    </pivotField>
    <pivotField showAll="0"/>
    <pivotField showAll="0"/>
    <pivotField showAll="0"/>
    <pivotField numFmtId="9" showAll="0"/>
    <pivotField showAll="0"/>
    <pivotField axis="axisRow" showAll="0">
      <items count="5">
        <item x="0"/>
        <item x="2"/>
        <item x="1"/>
        <item x="3"/>
        <item t="default"/>
      </items>
    </pivotField>
    <pivotField numFmtId="165" showAll="0"/>
    <pivotField showAll="0"/>
    <pivotField showAll="0"/>
    <pivotField showAll="0"/>
    <pivotField dataField="1" numFmtId="165" showAll="0"/>
    <pivotField numFmtId="165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2" baseField="0" baseItem="0" numFmtId="165"/>
  </dataFields>
  <formats count="2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AEE74-D9DD-450F-8E6E-37748036329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7">
    <pivotField showAll="0"/>
    <pivotField numFmtId="14" showAll="0">
      <items count="274">
        <item x="136"/>
        <item x="7"/>
        <item x="272"/>
        <item x="92"/>
        <item x="142"/>
        <item x="6"/>
        <item x="154"/>
        <item x="161"/>
        <item x="124"/>
        <item x="49"/>
        <item x="228"/>
        <item x="8"/>
        <item x="50"/>
        <item x="41"/>
        <item x="193"/>
        <item x="36"/>
        <item x="239"/>
        <item x="226"/>
        <item x="66"/>
        <item x="182"/>
        <item x="263"/>
        <item x="0"/>
        <item x="168"/>
        <item x="216"/>
        <item x="175"/>
        <item x="262"/>
        <item x="135"/>
        <item x="119"/>
        <item x="27"/>
        <item x="143"/>
        <item x="199"/>
        <item x="150"/>
        <item x="202"/>
        <item x="252"/>
        <item x="126"/>
        <item x="147"/>
        <item x="17"/>
        <item x="104"/>
        <item x="89"/>
        <item x="183"/>
        <item x="32"/>
        <item x="87"/>
        <item x="214"/>
        <item x="250"/>
        <item x="109"/>
        <item x="163"/>
        <item x="258"/>
        <item x="5"/>
        <item x="215"/>
        <item x="121"/>
        <item x="229"/>
        <item x="232"/>
        <item x="233"/>
        <item x="28"/>
        <item x="67"/>
        <item x="224"/>
        <item x="211"/>
        <item x="196"/>
        <item x="243"/>
        <item x="137"/>
        <item x="245"/>
        <item x="205"/>
        <item x="20"/>
        <item x="69"/>
        <item x="37"/>
        <item x="240"/>
        <item x="18"/>
        <item x="148"/>
        <item x="61"/>
        <item x="235"/>
        <item x="117"/>
        <item x="158"/>
        <item x="94"/>
        <item x="43"/>
        <item x="204"/>
        <item x="251"/>
        <item x="244"/>
        <item x="246"/>
        <item x="62"/>
        <item x="225"/>
        <item x="130"/>
        <item x="59"/>
        <item x="97"/>
        <item x="230"/>
        <item x="103"/>
        <item x="155"/>
        <item x="259"/>
        <item x="133"/>
        <item x="260"/>
        <item x="140"/>
        <item x="167"/>
        <item x="42"/>
        <item x="219"/>
        <item x="195"/>
        <item x="95"/>
        <item x="70"/>
        <item x="35"/>
        <item x="222"/>
        <item x="256"/>
        <item x="271"/>
        <item x="25"/>
        <item x="116"/>
        <item x="44"/>
        <item x="187"/>
        <item x="105"/>
        <item x="169"/>
        <item x="9"/>
        <item x="33"/>
        <item x="29"/>
        <item x="72"/>
        <item x="247"/>
        <item x="238"/>
        <item x="218"/>
        <item x="269"/>
        <item x="249"/>
        <item x="191"/>
        <item x="46"/>
        <item x="120"/>
        <item x="157"/>
        <item x="4"/>
        <item x="51"/>
        <item x="102"/>
        <item x="145"/>
        <item x="236"/>
        <item x="139"/>
        <item x="234"/>
        <item x="149"/>
        <item x="192"/>
        <item x="138"/>
        <item x="14"/>
        <item x="108"/>
        <item x="201"/>
        <item x="223"/>
        <item x="125"/>
        <item x="48"/>
        <item x="198"/>
        <item x="12"/>
        <item x="170"/>
        <item x="268"/>
        <item x="93"/>
        <item x="54"/>
        <item x="208"/>
        <item x="189"/>
        <item x="188"/>
        <item x="266"/>
        <item x="270"/>
        <item x="176"/>
        <item x="74"/>
        <item x="52"/>
        <item x="165"/>
        <item x="221"/>
        <item x="81"/>
        <item x="26"/>
        <item x="88"/>
        <item x="47"/>
        <item x="174"/>
        <item x="127"/>
        <item x="58"/>
        <item x="11"/>
        <item x="118"/>
        <item x="128"/>
        <item x="75"/>
        <item x="242"/>
        <item x="78"/>
        <item x="83"/>
        <item x="65"/>
        <item x="185"/>
        <item x="40"/>
        <item x="210"/>
        <item x="131"/>
        <item x="68"/>
        <item x="206"/>
        <item x="101"/>
        <item x="237"/>
        <item x="179"/>
        <item x="19"/>
        <item x="173"/>
        <item x="200"/>
        <item x="96"/>
        <item x="60"/>
        <item x="80"/>
        <item x="45"/>
        <item x="85"/>
        <item x="63"/>
        <item x="77"/>
        <item x="267"/>
        <item x="160"/>
        <item x="1"/>
        <item x="79"/>
        <item x="100"/>
        <item x="164"/>
        <item x="141"/>
        <item x="151"/>
        <item x="134"/>
        <item x="122"/>
        <item x="172"/>
        <item x="177"/>
        <item x="241"/>
        <item x="203"/>
        <item x="99"/>
        <item x="227"/>
        <item x="254"/>
        <item x="113"/>
        <item x="220"/>
        <item x="171"/>
        <item x="3"/>
        <item x="159"/>
        <item x="207"/>
        <item x="15"/>
        <item x="248"/>
        <item x="73"/>
        <item x="39"/>
        <item x="213"/>
        <item x="16"/>
        <item x="132"/>
        <item x="56"/>
        <item x="180"/>
        <item x="112"/>
        <item x="255"/>
        <item x="38"/>
        <item x="111"/>
        <item x="90"/>
        <item x="23"/>
        <item x="10"/>
        <item x="107"/>
        <item x="264"/>
        <item x="110"/>
        <item x="21"/>
        <item x="76"/>
        <item x="166"/>
        <item x="114"/>
        <item x="22"/>
        <item x="98"/>
        <item x="123"/>
        <item x="86"/>
        <item x="186"/>
        <item x="115"/>
        <item x="30"/>
        <item x="261"/>
        <item x="146"/>
        <item x="24"/>
        <item x="129"/>
        <item x="71"/>
        <item x="197"/>
        <item x="64"/>
        <item x="217"/>
        <item x="152"/>
        <item x="231"/>
        <item x="82"/>
        <item x="162"/>
        <item x="144"/>
        <item x="84"/>
        <item x="253"/>
        <item x="178"/>
        <item x="184"/>
        <item x="2"/>
        <item x="91"/>
        <item x="31"/>
        <item x="55"/>
        <item x="181"/>
        <item x="13"/>
        <item x="190"/>
        <item x="57"/>
        <item x="156"/>
        <item x="257"/>
        <item x="34"/>
        <item x="153"/>
        <item x="265"/>
        <item x="106"/>
        <item x="212"/>
        <item x="53"/>
        <item x="194"/>
        <item x="209"/>
        <item t="default"/>
      </items>
    </pivotField>
    <pivotField showAll="0"/>
    <pivotField showAll="0"/>
    <pivotField showAll="0"/>
    <pivotField numFmtId="9" showAll="0"/>
    <pivotField showAll="0"/>
    <pivotField showAll="0"/>
    <pivotField numFmtId="165" showAll="0"/>
    <pivotField showAll="0"/>
    <pivotField axis="axisRow" showAll="0">
      <items count="7">
        <item x="0"/>
        <item x="3"/>
        <item x="2"/>
        <item x="1"/>
        <item x="5"/>
        <item x="4"/>
        <item t="default"/>
      </items>
    </pivotField>
    <pivotField showAll="0"/>
    <pivotField dataField="1" numFmtId="165" showAll="0"/>
    <pivotField numFmtId="165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2" baseField="0" baseItem="0" numFmtId="165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AB947-8A53-4A56-99E0-1E44B743E0C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7">
    <pivotField showAll="0"/>
    <pivotField numFmtId="14" showAll="0">
      <items count="274">
        <item x="136"/>
        <item x="7"/>
        <item x="272"/>
        <item x="92"/>
        <item x="142"/>
        <item x="6"/>
        <item x="154"/>
        <item x="161"/>
        <item x="124"/>
        <item x="49"/>
        <item x="228"/>
        <item x="8"/>
        <item x="50"/>
        <item x="41"/>
        <item x="193"/>
        <item x="36"/>
        <item x="239"/>
        <item x="226"/>
        <item x="66"/>
        <item x="182"/>
        <item x="263"/>
        <item x="0"/>
        <item x="168"/>
        <item x="216"/>
        <item x="175"/>
        <item x="262"/>
        <item x="135"/>
        <item x="119"/>
        <item x="27"/>
        <item x="143"/>
        <item x="199"/>
        <item x="150"/>
        <item x="202"/>
        <item x="252"/>
        <item x="126"/>
        <item x="147"/>
        <item x="17"/>
        <item x="104"/>
        <item x="89"/>
        <item x="183"/>
        <item x="32"/>
        <item x="87"/>
        <item x="214"/>
        <item x="250"/>
        <item x="109"/>
        <item x="163"/>
        <item x="258"/>
        <item x="5"/>
        <item x="215"/>
        <item x="121"/>
        <item x="229"/>
        <item x="232"/>
        <item x="233"/>
        <item x="28"/>
        <item x="67"/>
        <item x="224"/>
        <item x="211"/>
        <item x="196"/>
        <item x="243"/>
        <item x="137"/>
        <item x="245"/>
        <item x="205"/>
        <item x="20"/>
        <item x="69"/>
        <item x="37"/>
        <item x="240"/>
        <item x="18"/>
        <item x="148"/>
        <item x="61"/>
        <item x="235"/>
        <item x="117"/>
        <item x="158"/>
        <item x="94"/>
        <item x="43"/>
        <item x="204"/>
        <item x="251"/>
        <item x="244"/>
        <item x="246"/>
        <item x="62"/>
        <item x="225"/>
        <item x="130"/>
        <item x="59"/>
        <item x="97"/>
        <item x="230"/>
        <item x="103"/>
        <item x="155"/>
        <item x="259"/>
        <item x="133"/>
        <item x="260"/>
        <item x="140"/>
        <item x="167"/>
        <item x="42"/>
        <item x="219"/>
        <item x="195"/>
        <item x="95"/>
        <item x="70"/>
        <item x="35"/>
        <item x="222"/>
        <item x="256"/>
        <item x="271"/>
        <item x="25"/>
        <item x="116"/>
        <item x="44"/>
        <item x="187"/>
        <item x="105"/>
        <item x="169"/>
        <item x="9"/>
        <item x="33"/>
        <item x="29"/>
        <item x="72"/>
        <item x="247"/>
        <item x="238"/>
        <item x="218"/>
        <item x="269"/>
        <item x="249"/>
        <item x="191"/>
        <item x="46"/>
        <item x="120"/>
        <item x="157"/>
        <item x="4"/>
        <item x="51"/>
        <item x="102"/>
        <item x="145"/>
        <item x="236"/>
        <item x="139"/>
        <item x="234"/>
        <item x="149"/>
        <item x="192"/>
        <item x="138"/>
        <item x="14"/>
        <item x="108"/>
        <item x="201"/>
        <item x="223"/>
        <item x="125"/>
        <item x="48"/>
        <item x="198"/>
        <item x="12"/>
        <item x="170"/>
        <item x="268"/>
        <item x="93"/>
        <item x="54"/>
        <item x="208"/>
        <item x="189"/>
        <item x="188"/>
        <item x="266"/>
        <item x="270"/>
        <item x="176"/>
        <item x="74"/>
        <item x="52"/>
        <item x="165"/>
        <item x="221"/>
        <item x="81"/>
        <item x="26"/>
        <item x="88"/>
        <item x="47"/>
        <item x="174"/>
        <item x="127"/>
        <item x="58"/>
        <item x="11"/>
        <item x="118"/>
        <item x="128"/>
        <item x="75"/>
        <item x="242"/>
        <item x="78"/>
        <item x="83"/>
        <item x="65"/>
        <item x="185"/>
        <item x="40"/>
        <item x="210"/>
        <item x="131"/>
        <item x="68"/>
        <item x="206"/>
        <item x="101"/>
        <item x="237"/>
        <item x="179"/>
        <item x="19"/>
        <item x="173"/>
        <item x="200"/>
        <item x="96"/>
        <item x="60"/>
        <item x="80"/>
        <item x="45"/>
        <item x="85"/>
        <item x="63"/>
        <item x="77"/>
        <item x="267"/>
        <item x="160"/>
        <item x="1"/>
        <item x="79"/>
        <item x="100"/>
        <item x="164"/>
        <item x="141"/>
        <item x="151"/>
        <item x="134"/>
        <item x="122"/>
        <item x="172"/>
        <item x="177"/>
        <item x="241"/>
        <item x="203"/>
        <item x="99"/>
        <item x="227"/>
        <item x="254"/>
        <item x="113"/>
        <item x="220"/>
        <item x="171"/>
        <item x="3"/>
        <item x="159"/>
        <item x="207"/>
        <item x="15"/>
        <item x="248"/>
        <item x="73"/>
        <item x="39"/>
        <item x="213"/>
        <item x="16"/>
        <item x="132"/>
        <item x="56"/>
        <item x="180"/>
        <item x="112"/>
        <item x="255"/>
        <item x="38"/>
        <item x="111"/>
        <item x="90"/>
        <item x="23"/>
        <item x="10"/>
        <item x="107"/>
        <item x="264"/>
        <item x="110"/>
        <item x="21"/>
        <item x="76"/>
        <item x="166"/>
        <item x="114"/>
        <item x="22"/>
        <item x="98"/>
        <item x="123"/>
        <item x="86"/>
        <item x="186"/>
        <item x="115"/>
        <item x="30"/>
        <item x="261"/>
        <item x="146"/>
        <item x="24"/>
        <item x="129"/>
        <item x="71"/>
        <item x="197"/>
        <item x="64"/>
        <item x="217"/>
        <item x="152"/>
        <item x="231"/>
        <item x="82"/>
        <item x="162"/>
        <item x="144"/>
        <item x="84"/>
        <item x="253"/>
        <item x="178"/>
        <item x="184"/>
        <item x="2"/>
        <item x="91"/>
        <item x="31"/>
        <item x="55"/>
        <item x="181"/>
        <item x="13"/>
        <item x="190"/>
        <item x="57"/>
        <item x="156"/>
        <item x="257"/>
        <item x="34"/>
        <item x="153"/>
        <item x="265"/>
        <item x="106"/>
        <item x="212"/>
        <item x="53"/>
        <item x="194"/>
        <item x="209"/>
        <item t="default"/>
      </items>
    </pivotField>
    <pivotField showAll="0"/>
    <pivotField showAll="0"/>
    <pivotField showAll="0"/>
    <pivotField numFmtId="9" showAll="0"/>
    <pivotField showAll="0"/>
    <pivotField showAll="0"/>
    <pivotField numFmtId="165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numFmtId="165" showAll="0"/>
    <pivotField numFmtId="165" showAll="0"/>
    <pivotField numFmtId="165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2" baseField="0" baseItem="0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E20C-1B0D-46C5-BD57-CDB07DEFAA58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7">
    <pivotField showAll="0"/>
    <pivotField numFmtId="14" showAll="0">
      <items count="274">
        <item x="136"/>
        <item x="7"/>
        <item x="272"/>
        <item x="92"/>
        <item x="142"/>
        <item x="6"/>
        <item x="154"/>
        <item x="161"/>
        <item x="124"/>
        <item x="49"/>
        <item x="228"/>
        <item x="8"/>
        <item x="50"/>
        <item x="41"/>
        <item x="193"/>
        <item x="36"/>
        <item x="239"/>
        <item x="226"/>
        <item x="66"/>
        <item x="182"/>
        <item x="263"/>
        <item x="0"/>
        <item x="168"/>
        <item x="216"/>
        <item x="175"/>
        <item x="262"/>
        <item x="135"/>
        <item x="119"/>
        <item x="27"/>
        <item x="143"/>
        <item x="199"/>
        <item x="150"/>
        <item x="202"/>
        <item x="252"/>
        <item x="126"/>
        <item x="147"/>
        <item x="17"/>
        <item x="104"/>
        <item x="89"/>
        <item x="183"/>
        <item x="32"/>
        <item x="87"/>
        <item x="214"/>
        <item x="250"/>
        <item x="109"/>
        <item x="163"/>
        <item x="258"/>
        <item x="5"/>
        <item x="215"/>
        <item x="121"/>
        <item x="229"/>
        <item x="232"/>
        <item x="233"/>
        <item x="28"/>
        <item x="67"/>
        <item x="224"/>
        <item x="211"/>
        <item x="196"/>
        <item x="243"/>
        <item x="137"/>
        <item x="245"/>
        <item x="205"/>
        <item x="20"/>
        <item x="69"/>
        <item x="37"/>
        <item x="240"/>
        <item x="18"/>
        <item x="148"/>
        <item x="61"/>
        <item x="235"/>
        <item x="117"/>
        <item x="158"/>
        <item x="94"/>
        <item x="43"/>
        <item x="204"/>
        <item x="251"/>
        <item x="244"/>
        <item x="246"/>
        <item x="62"/>
        <item x="225"/>
        <item x="130"/>
        <item x="59"/>
        <item x="97"/>
        <item x="230"/>
        <item x="103"/>
        <item x="155"/>
        <item x="259"/>
        <item x="133"/>
        <item x="260"/>
        <item x="140"/>
        <item x="167"/>
        <item x="42"/>
        <item x="219"/>
        <item x="195"/>
        <item x="95"/>
        <item x="70"/>
        <item x="35"/>
        <item x="222"/>
        <item x="256"/>
        <item x="271"/>
        <item x="25"/>
        <item x="116"/>
        <item x="44"/>
        <item x="187"/>
        <item x="105"/>
        <item x="169"/>
        <item x="9"/>
        <item x="33"/>
        <item x="29"/>
        <item x="72"/>
        <item x="247"/>
        <item x="238"/>
        <item x="218"/>
        <item x="269"/>
        <item x="249"/>
        <item x="191"/>
        <item x="46"/>
        <item x="120"/>
        <item x="157"/>
        <item x="4"/>
        <item x="51"/>
        <item x="102"/>
        <item x="145"/>
        <item x="236"/>
        <item x="139"/>
        <item x="234"/>
        <item x="149"/>
        <item x="192"/>
        <item x="138"/>
        <item x="14"/>
        <item x="108"/>
        <item x="201"/>
        <item x="223"/>
        <item x="125"/>
        <item x="48"/>
        <item x="198"/>
        <item x="12"/>
        <item x="170"/>
        <item x="268"/>
        <item x="93"/>
        <item x="54"/>
        <item x="208"/>
        <item x="189"/>
        <item x="188"/>
        <item x="266"/>
        <item x="270"/>
        <item x="176"/>
        <item x="74"/>
        <item x="52"/>
        <item x="165"/>
        <item x="221"/>
        <item x="81"/>
        <item x="26"/>
        <item x="88"/>
        <item x="47"/>
        <item x="174"/>
        <item x="127"/>
        <item x="58"/>
        <item x="11"/>
        <item x="118"/>
        <item x="128"/>
        <item x="75"/>
        <item x="242"/>
        <item x="78"/>
        <item x="83"/>
        <item x="65"/>
        <item x="185"/>
        <item x="40"/>
        <item x="210"/>
        <item x="131"/>
        <item x="68"/>
        <item x="206"/>
        <item x="101"/>
        <item x="237"/>
        <item x="179"/>
        <item x="19"/>
        <item x="173"/>
        <item x="200"/>
        <item x="96"/>
        <item x="60"/>
        <item x="80"/>
        <item x="45"/>
        <item x="85"/>
        <item x="63"/>
        <item x="77"/>
        <item x="267"/>
        <item x="160"/>
        <item x="1"/>
        <item x="79"/>
        <item x="100"/>
        <item x="164"/>
        <item x="141"/>
        <item x="151"/>
        <item x="134"/>
        <item x="122"/>
        <item x="172"/>
        <item x="177"/>
        <item x="241"/>
        <item x="203"/>
        <item x="99"/>
        <item x="227"/>
        <item x="254"/>
        <item x="113"/>
        <item x="220"/>
        <item x="171"/>
        <item x="3"/>
        <item x="159"/>
        <item x="207"/>
        <item x="15"/>
        <item x="248"/>
        <item x="73"/>
        <item x="39"/>
        <item x="213"/>
        <item x="16"/>
        <item x="132"/>
        <item x="56"/>
        <item x="180"/>
        <item x="112"/>
        <item x="255"/>
        <item x="38"/>
        <item x="111"/>
        <item x="90"/>
        <item x="23"/>
        <item x="10"/>
        <item x="107"/>
        <item x="264"/>
        <item x="110"/>
        <item x="21"/>
        <item x="76"/>
        <item x="166"/>
        <item x="114"/>
        <item x="22"/>
        <item x="98"/>
        <item x="123"/>
        <item x="86"/>
        <item x="186"/>
        <item x="115"/>
        <item x="30"/>
        <item x="261"/>
        <item x="146"/>
        <item x="24"/>
        <item x="129"/>
        <item x="71"/>
        <item x="197"/>
        <item x="64"/>
        <item x="217"/>
        <item x="152"/>
        <item x="231"/>
        <item x="82"/>
        <item x="162"/>
        <item x="144"/>
        <item x="84"/>
        <item x="253"/>
        <item x="178"/>
        <item x="184"/>
        <item x="2"/>
        <item x="91"/>
        <item x="31"/>
        <item x="55"/>
        <item x="181"/>
        <item x="13"/>
        <item x="190"/>
        <item x="57"/>
        <item x="156"/>
        <item x="257"/>
        <item x="34"/>
        <item x="153"/>
        <item x="265"/>
        <item x="106"/>
        <item x="212"/>
        <item x="53"/>
        <item x="194"/>
        <item x="209"/>
        <item t="default"/>
      </items>
    </pivotField>
    <pivotField showAll="0"/>
    <pivotField showAll="0"/>
    <pivotField showAll="0"/>
    <pivotField numFmtId="9" showAll="0"/>
    <pivotField showAll="0"/>
    <pivotField showAll="0"/>
    <pivotField numFmtId="165" showAll="0"/>
    <pivotField showAll="0"/>
    <pivotField showAll="0"/>
    <pivotField showAll="0"/>
    <pivotField dataField="1" numFmtId="165" showAll="0"/>
    <pivotField numFmtId="165" showAll="0"/>
    <pivotField numFmtId="165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2" baseField="0" baseItem="0" numFmtId="165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675BA-92DD-4209-8E88-84DC9CFD2B3A}" name="Sales­_Data" displayName="Sales­_Data" ref="A1:O501" totalsRowShown="0" headerRowDxfId="2">
  <autoFilter ref="A1:O501" xr:uid="{514675BA-92DD-4209-8E88-84DC9CFD2B3A}"/>
  <tableColumns count="15">
    <tableColumn id="1" xr3:uid="{3AF31086-C809-48B1-B764-9DC5873C4D26}" name="Order_ID"/>
    <tableColumn id="2" xr3:uid="{6598D1C3-4283-4453-BBBA-6FC52AD7CDF6}" name="Order_Date" dataDxfId="13"/>
    <tableColumn id="3" xr3:uid="{FE079003-79F4-4368-9467-44B5F40ACFA7}" name="Customer_ID"/>
    <tableColumn id="4" xr3:uid="{DFCCBA9E-C0FA-4366-961E-31765270838F}" name="Product_ID"/>
    <tableColumn id="5" xr3:uid="{E9EDE614-EF0D-491C-A303-7739FEFBF207}" name="Quantity"/>
    <tableColumn id="6" xr3:uid="{56FDEB10-95F1-4490-83D6-DEF794D561B3}" name="Discount" dataDxfId="12"/>
    <tableColumn id="7" xr3:uid="{B33B94B9-6B29-456C-A6D4-F4E9EB2A685C}" name="Product_Name" dataDxfId="11">
      <calculatedColumnFormula>_xlfn.XLOOKUP(D2,Products!$A$2:$A$11,Products!$B$2:$B$11)</calculatedColumnFormula>
    </tableColumn>
    <tableColumn id="8" xr3:uid="{C3A05BB6-3E1E-413E-B0DA-2200A2C1CB5B}" name="Category" dataDxfId="10">
      <calculatedColumnFormula>_xlfn.XLOOKUP(D2,Products!$A$2:$A$11,Products!$C$2:$C$11)</calculatedColumnFormula>
    </tableColumn>
    <tableColumn id="9" xr3:uid="{F2CDB622-4F21-4010-9E0E-916DFE7B30DC}" name="Unit_Price" dataDxfId="9">
      <calculatedColumnFormula>_xlfn.XLOOKUP(D2,Products!$A$2:$A$11,Products!$D$2:$D$11)</calculatedColumnFormula>
    </tableColumn>
    <tableColumn id="10" xr3:uid="{375AE5F9-F773-462B-98FC-2E1B8D0157F8}" name="Customer_Name" dataDxfId="8">
      <calculatedColumnFormula>_xlfn.XLOOKUP(C2,Customers!$A$2:$A$101,Customers!$B$2:$B$101)</calculatedColumnFormula>
    </tableColumn>
    <tableColumn id="11" xr3:uid="{E951CF4A-9C31-4952-8958-5DD2175EF0CF}" name="Region" dataDxfId="7">
      <calculatedColumnFormula>_xlfn.XLOOKUP(C2,Customers!$A$2:$A$101,Customers!$C$2:$C$101)</calculatedColumnFormula>
    </tableColumn>
    <tableColumn id="12" xr3:uid="{F6DFC832-26B6-4DD7-BF4D-790C8141CB18}" name="Customer_Segment" dataDxfId="6">
      <calculatedColumnFormula>_xlfn.XLOOKUP(C2,Customers!$A$2:$A$101,Customers!$D$2:$D$101)</calculatedColumnFormula>
    </tableColumn>
    <tableColumn id="13" xr3:uid="{C851028E-2579-4B8D-BB50-405D9D223612}" name="Revenue" dataDxfId="5">
      <calculatedColumnFormula>E2*I2*(1-F2)</calculatedColumnFormula>
    </tableColumn>
    <tableColumn id="14" xr3:uid="{85EEC106-8193-4164-9730-E36ECB909E3D}" name="Cost" dataDxfId="4">
      <calculatedColumnFormula>E2*_xlfn.XLOOKUP(D2,Products!$A$2:$A$11,Products!$E$2:$E$11)</calculatedColumnFormula>
    </tableColumn>
    <tableColumn id="15" xr3:uid="{77DEEF09-E8E1-4A4A-AF06-DEEAEE7618AE}" name="Profit" dataDxfId="3">
      <calculatedColumnFormula>M2-N2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5412-CB49-4174-952A-722E4D1448F8}">
  <dimension ref="A1:J5"/>
  <sheetViews>
    <sheetView tabSelected="1" zoomScale="80" zoomScaleNormal="80" workbookViewId="0">
      <selection activeCell="Y30" sqref="Y30"/>
    </sheetView>
  </sheetViews>
  <sheetFormatPr defaultRowHeight="14.4" x14ac:dyDescent="0.3"/>
  <cols>
    <col min="1" max="1" width="11.33203125" bestFit="1" customWidth="1"/>
    <col min="4" max="4" width="11.33203125" bestFit="1" customWidth="1"/>
  </cols>
  <sheetData>
    <row r="1" spans="1:10" x14ac:dyDescent="0.3">
      <c r="A1" s="6" t="s">
        <v>777</v>
      </c>
    </row>
    <row r="2" spans="1:10" x14ac:dyDescent="0.3">
      <c r="A2" t="s">
        <v>776</v>
      </c>
    </row>
    <row r="4" spans="1:10" x14ac:dyDescent="0.3">
      <c r="A4" s="6" t="s">
        <v>778</v>
      </c>
      <c r="D4" s="6" t="s">
        <v>779</v>
      </c>
      <c r="G4" s="6" t="s">
        <v>780</v>
      </c>
      <c r="J4" s="6" t="s">
        <v>781</v>
      </c>
    </row>
    <row r="5" spans="1:10" x14ac:dyDescent="0.3">
      <c r="A5" s="7">
        <f>SUM(Raw_Sales!M2:M501)</f>
        <v>71615.199999999997</v>
      </c>
      <c r="D5" s="7">
        <f>SUM(Raw_Sales!O2:O501)</f>
        <v>30829.200000000008</v>
      </c>
      <c r="G5" s="8">
        <f>D5/A5</f>
        <v>0.43048403132295948</v>
      </c>
      <c r="J5" s="6">
        <f>COUNTA(Raw_Sales!A2:A501)</f>
        <v>500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0671-FC54-4CD7-824E-83D97AD21B9F}">
  <dimension ref="A3:C8"/>
  <sheetViews>
    <sheetView workbookViewId="0">
      <selection activeCell="A3" sqref="A3:B8"/>
    </sheetView>
  </sheetViews>
  <sheetFormatPr defaultRowHeight="14.4" x14ac:dyDescent="0.3"/>
  <cols>
    <col min="1" max="1" width="12.5546875" bestFit="1" customWidth="1"/>
    <col min="2" max="2" width="14.88671875" style="3" bestFit="1" customWidth="1"/>
    <col min="3" max="3" width="13.5546875" style="3" bestFit="1" customWidth="1"/>
  </cols>
  <sheetData>
    <row r="3" spans="1:3" x14ac:dyDescent="0.3">
      <c r="A3" s="4" t="s">
        <v>761</v>
      </c>
      <c r="B3" t="s">
        <v>763</v>
      </c>
      <c r="C3"/>
    </row>
    <row r="4" spans="1:3" x14ac:dyDescent="0.3">
      <c r="A4" s="5" t="s">
        <v>620</v>
      </c>
      <c r="B4" s="3">
        <v>27001.25</v>
      </c>
      <c r="C4"/>
    </row>
    <row r="5" spans="1:3" x14ac:dyDescent="0.3">
      <c r="A5" s="5" t="s">
        <v>624</v>
      </c>
      <c r="B5" s="3">
        <v>10176.349999999997</v>
      </c>
      <c r="C5"/>
    </row>
    <row r="6" spans="1:3" x14ac:dyDescent="0.3">
      <c r="A6" s="5" t="s">
        <v>618</v>
      </c>
      <c r="B6" s="3">
        <v>32670</v>
      </c>
      <c r="C6"/>
    </row>
    <row r="7" spans="1:3" x14ac:dyDescent="0.3">
      <c r="A7" s="5" t="s">
        <v>628</v>
      </c>
      <c r="B7" s="3">
        <v>1767.6000000000001</v>
      </c>
      <c r="C7"/>
    </row>
    <row r="8" spans="1:3" x14ac:dyDescent="0.3">
      <c r="A8" s="5" t="s">
        <v>762</v>
      </c>
      <c r="B8" s="3">
        <v>71615.200000000012</v>
      </c>
      <c r="C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ACF8-EFD2-45AE-A748-9C0FA99EE8E4}">
  <dimension ref="A3:B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2.109375" bestFit="1" customWidth="1"/>
  </cols>
  <sheetData>
    <row r="3" spans="1:2" x14ac:dyDescent="0.3">
      <c r="A3" s="4" t="s">
        <v>761</v>
      </c>
      <c r="B3" t="s">
        <v>763</v>
      </c>
    </row>
    <row r="4" spans="1:2" x14ac:dyDescent="0.3">
      <c r="A4" s="5" t="s">
        <v>641</v>
      </c>
      <c r="B4" s="3">
        <v>15167.300000000001</v>
      </c>
    </row>
    <row r="5" spans="1:2" x14ac:dyDescent="0.3">
      <c r="A5" s="5" t="s">
        <v>648</v>
      </c>
      <c r="B5" s="3">
        <v>11287.550000000001</v>
      </c>
    </row>
    <row r="6" spans="1:2" x14ac:dyDescent="0.3">
      <c r="A6" s="5" t="s">
        <v>659</v>
      </c>
      <c r="B6" s="3">
        <v>12805.499999999998</v>
      </c>
    </row>
    <row r="7" spans="1:2" x14ac:dyDescent="0.3">
      <c r="A7" s="5" t="s">
        <v>638</v>
      </c>
      <c r="B7" s="3">
        <v>10774.900000000001</v>
      </c>
    </row>
    <row r="8" spans="1:2" x14ac:dyDescent="0.3">
      <c r="A8" s="5" t="s">
        <v>644</v>
      </c>
      <c r="B8" s="3">
        <v>9160.35</v>
      </c>
    </row>
    <row r="9" spans="1:2" x14ac:dyDescent="0.3">
      <c r="A9" s="5" t="s">
        <v>635</v>
      </c>
      <c r="B9" s="3">
        <v>12419.599999999999</v>
      </c>
    </row>
    <row r="10" spans="1:2" x14ac:dyDescent="0.3">
      <c r="A10" s="5" t="s">
        <v>762</v>
      </c>
      <c r="B10" s="3">
        <v>71615.199999999997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CA95-9C78-4049-B12F-2E547414D25A}">
  <dimension ref="A3:B7"/>
  <sheetViews>
    <sheetView workbookViewId="0">
      <selection activeCell="I25" sqref="I25"/>
    </sheetView>
  </sheetViews>
  <sheetFormatPr defaultRowHeight="14.4" x14ac:dyDescent="0.3"/>
  <cols>
    <col min="1" max="1" width="12.6640625" bestFit="1" customWidth="1"/>
    <col min="2" max="2" width="14.88671875" bestFit="1" customWidth="1"/>
    <col min="3" max="3" width="12.109375" bestFit="1" customWidth="1"/>
  </cols>
  <sheetData>
    <row r="3" spans="1:2" x14ac:dyDescent="0.3">
      <c r="A3" s="4" t="s">
        <v>761</v>
      </c>
      <c r="B3" t="s">
        <v>763</v>
      </c>
    </row>
    <row r="4" spans="1:2" x14ac:dyDescent="0.3">
      <c r="A4" s="5" t="s">
        <v>636</v>
      </c>
      <c r="B4" s="3">
        <v>26642.649999999998</v>
      </c>
    </row>
    <row r="5" spans="1:2" x14ac:dyDescent="0.3">
      <c r="A5" s="5" t="s">
        <v>639</v>
      </c>
      <c r="B5" s="3">
        <v>28867.800000000007</v>
      </c>
    </row>
    <row r="6" spans="1:2" x14ac:dyDescent="0.3">
      <c r="A6" s="5" t="s">
        <v>650</v>
      </c>
      <c r="B6" s="3">
        <v>16104.750000000002</v>
      </c>
    </row>
    <row r="7" spans="1:2" x14ac:dyDescent="0.3">
      <c r="A7" s="5" t="s">
        <v>762</v>
      </c>
      <c r="B7" s="3">
        <v>71615.200000000012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317D-D9F6-4A62-8113-9D75CDE840EB}">
  <dimension ref="A3:B16"/>
  <sheetViews>
    <sheetView workbookViewId="0">
      <selection activeCell="P28" sqref="P28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2.109375" bestFit="1" customWidth="1"/>
  </cols>
  <sheetData>
    <row r="3" spans="1:2" x14ac:dyDescent="0.3">
      <c r="A3" s="4" t="s">
        <v>761</v>
      </c>
      <c r="B3" t="s">
        <v>763</v>
      </c>
    </row>
    <row r="4" spans="1:2" x14ac:dyDescent="0.3">
      <c r="A4" s="5" t="s">
        <v>764</v>
      </c>
      <c r="B4" s="3">
        <v>7549.7</v>
      </c>
    </row>
    <row r="5" spans="1:2" x14ac:dyDescent="0.3">
      <c r="A5" s="5" t="s">
        <v>765</v>
      </c>
      <c r="B5" s="3">
        <v>6510.3499999999995</v>
      </c>
    </row>
    <row r="6" spans="1:2" x14ac:dyDescent="0.3">
      <c r="A6" s="5" t="s">
        <v>766</v>
      </c>
      <c r="B6" s="3">
        <v>8453.0499999999993</v>
      </c>
    </row>
    <row r="7" spans="1:2" x14ac:dyDescent="0.3">
      <c r="A7" s="5" t="s">
        <v>767</v>
      </c>
      <c r="B7" s="3">
        <v>3278.1</v>
      </c>
    </row>
    <row r="8" spans="1:2" x14ac:dyDescent="0.3">
      <c r="A8" s="5" t="s">
        <v>768</v>
      </c>
      <c r="B8" s="3">
        <v>4653.7</v>
      </c>
    </row>
    <row r="9" spans="1:2" x14ac:dyDescent="0.3">
      <c r="A9" s="5" t="s">
        <v>769</v>
      </c>
      <c r="B9" s="3">
        <v>6335.4</v>
      </c>
    </row>
    <row r="10" spans="1:2" x14ac:dyDescent="0.3">
      <c r="A10" s="5" t="s">
        <v>770</v>
      </c>
      <c r="B10" s="3">
        <v>6533.0999999999995</v>
      </c>
    </row>
    <row r="11" spans="1:2" x14ac:dyDescent="0.3">
      <c r="A11" s="5" t="s">
        <v>771</v>
      </c>
      <c r="B11" s="3">
        <v>7620.1</v>
      </c>
    </row>
    <row r="12" spans="1:2" x14ac:dyDescent="0.3">
      <c r="A12" s="5" t="s">
        <v>772</v>
      </c>
      <c r="B12" s="3">
        <v>5106.5499999999993</v>
      </c>
    </row>
    <row r="13" spans="1:2" x14ac:dyDescent="0.3">
      <c r="A13" s="5" t="s">
        <v>773</v>
      </c>
      <c r="B13" s="3">
        <v>6803.7499999999991</v>
      </c>
    </row>
    <row r="14" spans="1:2" x14ac:dyDescent="0.3">
      <c r="A14" s="5" t="s">
        <v>774</v>
      </c>
      <c r="B14" s="3">
        <v>3698.1499999999996</v>
      </c>
    </row>
    <row r="15" spans="1:2" x14ac:dyDescent="0.3">
      <c r="A15" s="5" t="s">
        <v>775</v>
      </c>
      <c r="B15" s="3">
        <v>5073.25</v>
      </c>
    </row>
    <row r="16" spans="1:2" x14ac:dyDescent="0.3">
      <c r="A16" s="5" t="s">
        <v>762</v>
      </c>
      <c r="B16" s="3">
        <v>71615.199999999983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workbookViewId="0">
      <pane ySplit="1" topLeftCell="A2" activePane="bottomLeft" state="frozen"/>
      <selection pane="bottomLeft" sqref="A1:O501"/>
    </sheetView>
  </sheetViews>
  <sheetFormatPr defaultRowHeight="14.4" x14ac:dyDescent="0.3"/>
  <cols>
    <col min="1" max="1" width="10.44140625" customWidth="1"/>
    <col min="2" max="2" width="12.5546875" customWidth="1"/>
    <col min="3" max="3" width="13.77734375" customWidth="1"/>
    <col min="4" max="4" width="12.33203125" customWidth="1"/>
    <col min="5" max="6" width="10.21875" customWidth="1"/>
    <col min="7" max="7" width="16.88671875" customWidth="1"/>
    <col min="8" max="8" width="12.88671875" customWidth="1"/>
    <col min="9" max="9" width="12.88671875" style="3" customWidth="1"/>
    <col min="10" max="10" width="18.33203125" style="3" customWidth="1"/>
    <col min="11" max="11" width="17.21875" style="3" customWidth="1"/>
    <col min="12" max="12" width="20.77734375" style="3" customWidth="1"/>
    <col min="13" max="15" width="18.21875" style="3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613</v>
      </c>
      <c r="H1" t="s">
        <v>614</v>
      </c>
      <c r="I1" s="3" t="s">
        <v>615</v>
      </c>
      <c r="J1" s="3" t="s">
        <v>631</v>
      </c>
      <c r="K1" s="3" t="s">
        <v>632</v>
      </c>
      <c r="L1" s="3" t="s">
        <v>633</v>
      </c>
      <c r="M1" s="3" t="s">
        <v>758</v>
      </c>
      <c r="N1" s="3" t="s">
        <v>759</v>
      </c>
      <c r="O1" s="3" t="s">
        <v>760</v>
      </c>
    </row>
    <row r="2" spans="1:15" x14ac:dyDescent="0.3">
      <c r="A2" t="s">
        <v>6</v>
      </c>
      <c r="B2" s="1">
        <v>45687</v>
      </c>
      <c r="C2" t="s">
        <v>7</v>
      </c>
      <c r="D2" t="s">
        <v>8</v>
      </c>
      <c r="E2">
        <v>1</v>
      </c>
      <c r="F2" s="2">
        <v>0</v>
      </c>
      <c r="G2" s="2" t="str">
        <f>_xlfn.XLOOKUP(D2,Products!$A$2:$A$11,Products!$B$2:$B$11)</f>
        <v>USB-C Hub</v>
      </c>
      <c r="H2" s="2" t="str">
        <f>_xlfn.XLOOKUP(D2,Products!$A$2:$A$11,Products!$C$2:$C$11)</f>
        <v>Electronics</v>
      </c>
      <c r="I2" s="3">
        <f>_xlfn.XLOOKUP(D2,Products!$A$2:$A$11,Products!$D$2:$D$11)</f>
        <v>40</v>
      </c>
      <c r="J2" s="3" t="str">
        <f>_xlfn.XLOOKUP(C2,Customers!$A$2:$A$101,Customers!$B$2:$B$101)</f>
        <v>Customer 031</v>
      </c>
      <c r="K2" s="3" t="str">
        <f>_xlfn.XLOOKUP(C2,Customers!$A$2:$A$101,Customers!$C$2:$C$101)</f>
        <v>Birmingham</v>
      </c>
      <c r="L2" s="3" t="str">
        <f>_xlfn.XLOOKUP(C2,Customers!$A$2:$A$101,Customers!$D$2:$D$101)</f>
        <v>Corporate</v>
      </c>
      <c r="M2" s="3">
        <f>E2*I2*(1-F2)</f>
        <v>40</v>
      </c>
      <c r="N2" s="3">
        <f>E2*_xlfn.XLOOKUP(D2,Products!$A$2:$A$11,Products!$E$2:$E$11)</f>
        <v>19</v>
      </c>
      <c r="O2" s="3">
        <f>M2-N2</f>
        <v>21</v>
      </c>
    </row>
    <row r="3" spans="1:15" x14ac:dyDescent="0.3">
      <c r="A3" t="s">
        <v>9</v>
      </c>
      <c r="B3" s="1">
        <v>45906</v>
      </c>
      <c r="C3" t="s">
        <v>10</v>
      </c>
      <c r="D3" t="s">
        <v>11</v>
      </c>
      <c r="E3">
        <v>2</v>
      </c>
      <c r="F3" s="2">
        <v>0.05</v>
      </c>
      <c r="G3" s="2" t="str">
        <f>_xlfn.XLOOKUP(D3,Products!$A$2:$A$11,Products!$B$2:$B$11)</f>
        <v>Office Chair</v>
      </c>
      <c r="H3" s="2" t="str">
        <f>_xlfn.XLOOKUP(D3,Products!$A$2:$A$11,Products!$C$2:$C$11)</f>
        <v>Office</v>
      </c>
      <c r="I3" s="3">
        <f>_xlfn.XLOOKUP(D3,Products!$A$2:$A$11,Products!$D$2:$D$11)</f>
        <v>180</v>
      </c>
      <c r="J3" s="3" t="str">
        <f>_xlfn.XLOOKUP(C3,Customers!$A$2:$A$101,Customers!$B$2:$B$101)</f>
        <v>Customer 009</v>
      </c>
      <c r="K3" s="3" t="str">
        <f>_xlfn.XLOOKUP(C3,Customers!$A$2:$A$101,Customers!$C$2:$C$101)</f>
        <v>London</v>
      </c>
      <c r="L3" s="3" t="str">
        <f>_xlfn.XLOOKUP(C3,Customers!$A$2:$A$101,Customers!$D$2:$D$101)</f>
        <v>Consumer</v>
      </c>
      <c r="M3" s="3">
        <f>E3*I3*(1-F3)</f>
        <v>342</v>
      </c>
      <c r="N3" s="3">
        <f>E3*_xlfn.XLOOKUP(D3,Products!$A$2:$A$11,Products!$E$2:$E$11)</f>
        <v>210</v>
      </c>
      <c r="O3" s="3">
        <f t="shared" ref="O3:O66" si="0">M3-N3</f>
        <v>132</v>
      </c>
    </row>
    <row r="4" spans="1:15" x14ac:dyDescent="0.3">
      <c r="A4" t="s">
        <v>12</v>
      </c>
      <c r="B4" s="1">
        <v>45995</v>
      </c>
      <c r="C4" t="s">
        <v>13</v>
      </c>
      <c r="D4" t="s">
        <v>11</v>
      </c>
      <c r="E4">
        <v>2</v>
      </c>
      <c r="F4" s="2">
        <v>0.1</v>
      </c>
      <c r="G4" s="2" t="str">
        <f>_xlfn.XLOOKUP(D4,Products!$A$2:$A$11,Products!$B$2:$B$11)</f>
        <v>Office Chair</v>
      </c>
      <c r="H4" s="2" t="str">
        <f>_xlfn.XLOOKUP(D4,Products!$A$2:$A$11,Products!$C$2:$C$11)</f>
        <v>Office</v>
      </c>
      <c r="I4" s="3">
        <f>_xlfn.XLOOKUP(D4,Products!$A$2:$A$11,Products!$D$2:$D$11)</f>
        <v>180</v>
      </c>
      <c r="J4" s="3" t="str">
        <f>_xlfn.XLOOKUP(C4,Customers!$A$2:$A$101,Customers!$B$2:$B$101)</f>
        <v>Customer 061</v>
      </c>
      <c r="K4" s="3" t="str">
        <f>_xlfn.XLOOKUP(C4,Customers!$A$2:$A$101,Customers!$C$2:$C$101)</f>
        <v>Leeds</v>
      </c>
      <c r="L4" s="3" t="str">
        <f>_xlfn.XLOOKUP(C4,Customers!$A$2:$A$101,Customers!$D$2:$D$101)</f>
        <v>Corporate</v>
      </c>
      <c r="M4" s="3">
        <f t="shared" ref="M4:M67" si="1">E4*I4*(1-F4)</f>
        <v>324</v>
      </c>
      <c r="N4" s="3">
        <f>E4*_xlfn.XLOOKUP(D4,Products!$A$2:$A$11,Products!$E$2:$E$11)</f>
        <v>210</v>
      </c>
      <c r="O4" s="3">
        <f t="shared" si="0"/>
        <v>114</v>
      </c>
    </row>
    <row r="5" spans="1:15" x14ac:dyDescent="0.3">
      <c r="A5" t="s">
        <v>14</v>
      </c>
      <c r="B5" s="1">
        <v>45928</v>
      </c>
      <c r="C5" t="s">
        <v>15</v>
      </c>
      <c r="D5" t="s">
        <v>16</v>
      </c>
      <c r="E5">
        <v>2</v>
      </c>
      <c r="F5" s="2">
        <v>0.05</v>
      </c>
      <c r="G5" s="2" t="str">
        <f>_xlfn.XLOOKUP(D5,Products!$A$2:$A$11,Products!$B$2:$B$11)</f>
        <v>Headphones</v>
      </c>
      <c r="H5" s="2" t="str">
        <f>_xlfn.XLOOKUP(D5,Products!$A$2:$A$11,Products!$C$2:$C$11)</f>
        <v>Electronics</v>
      </c>
      <c r="I5" s="3">
        <f>_xlfn.XLOOKUP(D5,Products!$A$2:$A$11,Products!$D$2:$D$11)</f>
        <v>75</v>
      </c>
      <c r="J5" s="3" t="str">
        <f>_xlfn.XLOOKUP(C5,Customers!$A$2:$A$101,Customers!$B$2:$B$101)</f>
        <v>Customer 078</v>
      </c>
      <c r="K5" s="3" t="str">
        <f>_xlfn.XLOOKUP(C5,Customers!$A$2:$A$101,Customers!$C$2:$C$101)</f>
        <v>Leeds</v>
      </c>
      <c r="L5" s="3" t="str">
        <f>_xlfn.XLOOKUP(C5,Customers!$A$2:$A$101,Customers!$D$2:$D$101)</f>
        <v>Corporate</v>
      </c>
      <c r="M5" s="3">
        <f t="shared" si="1"/>
        <v>142.5</v>
      </c>
      <c r="N5" s="3">
        <f>E5*_xlfn.XLOOKUP(D5,Products!$A$2:$A$11,Products!$E$2:$E$11)</f>
        <v>80</v>
      </c>
      <c r="O5" s="3">
        <f t="shared" si="0"/>
        <v>62.5</v>
      </c>
    </row>
    <row r="6" spans="1:15" x14ac:dyDescent="0.3">
      <c r="A6" t="s">
        <v>17</v>
      </c>
      <c r="B6" s="1">
        <v>45817</v>
      </c>
      <c r="C6" t="s">
        <v>18</v>
      </c>
      <c r="D6" t="s">
        <v>19</v>
      </c>
      <c r="E6">
        <v>4</v>
      </c>
      <c r="F6" s="2">
        <v>0.15</v>
      </c>
      <c r="G6" s="2" t="str">
        <f>_xlfn.XLOOKUP(D6,Products!$A$2:$A$11,Products!$B$2:$B$11)</f>
        <v>Backpack</v>
      </c>
      <c r="H6" s="2" t="str">
        <f>_xlfn.XLOOKUP(D6,Products!$A$2:$A$11,Products!$C$2:$C$11)</f>
        <v>Lifestyle</v>
      </c>
      <c r="I6" s="3">
        <f>_xlfn.XLOOKUP(D6,Products!$A$2:$A$11,Products!$D$2:$D$11)</f>
        <v>55</v>
      </c>
      <c r="J6" s="3" t="str">
        <f>_xlfn.XLOOKUP(C6,Customers!$A$2:$A$101,Customers!$B$2:$B$101)</f>
        <v>Customer 052</v>
      </c>
      <c r="K6" s="3" t="str">
        <f>_xlfn.XLOOKUP(C6,Customers!$A$2:$A$101,Customers!$C$2:$C$101)</f>
        <v>Bristol</v>
      </c>
      <c r="L6" s="3" t="str">
        <f>_xlfn.XLOOKUP(C6,Customers!$A$2:$A$101,Customers!$D$2:$D$101)</f>
        <v>Consumer</v>
      </c>
      <c r="M6" s="3">
        <f t="shared" si="1"/>
        <v>187</v>
      </c>
      <c r="N6" s="3">
        <f>E6*_xlfn.XLOOKUP(D6,Products!$A$2:$A$11,Products!$E$2:$E$11)</f>
        <v>108</v>
      </c>
      <c r="O6" s="3">
        <f t="shared" si="0"/>
        <v>79</v>
      </c>
    </row>
    <row r="7" spans="1:15" x14ac:dyDescent="0.3">
      <c r="A7" t="s">
        <v>20</v>
      </c>
      <c r="B7" s="1">
        <v>45719</v>
      </c>
      <c r="C7" t="s">
        <v>21</v>
      </c>
      <c r="D7" t="s">
        <v>22</v>
      </c>
      <c r="E7">
        <v>1</v>
      </c>
      <c r="F7" s="2">
        <v>0.1</v>
      </c>
      <c r="G7" s="2" t="str">
        <f>_xlfn.XLOOKUP(D7,Products!$A$2:$A$11,Products!$B$2:$B$11)</f>
        <v>Desk Lamp</v>
      </c>
      <c r="H7" s="2" t="str">
        <f>_xlfn.XLOOKUP(D7,Products!$A$2:$A$11,Products!$C$2:$C$11)</f>
        <v>Office</v>
      </c>
      <c r="I7" s="3">
        <f>_xlfn.XLOOKUP(D7,Products!$A$2:$A$11,Products!$D$2:$D$11)</f>
        <v>30</v>
      </c>
      <c r="J7" s="3" t="str">
        <f>_xlfn.XLOOKUP(C7,Customers!$A$2:$A$101,Customers!$B$2:$B$101)</f>
        <v>Customer 032</v>
      </c>
      <c r="K7" s="3" t="str">
        <f>_xlfn.XLOOKUP(C7,Customers!$A$2:$A$101,Customers!$C$2:$C$101)</f>
        <v>Bristol</v>
      </c>
      <c r="L7" s="3" t="str">
        <f>_xlfn.XLOOKUP(C7,Customers!$A$2:$A$101,Customers!$D$2:$D$101)</f>
        <v>Small Business</v>
      </c>
      <c r="M7" s="3">
        <f t="shared" si="1"/>
        <v>27</v>
      </c>
      <c r="N7" s="3">
        <f>E7*_xlfn.XLOOKUP(D7,Products!$A$2:$A$11,Products!$E$2:$E$11)</f>
        <v>15</v>
      </c>
      <c r="O7" s="3">
        <f t="shared" si="0"/>
        <v>12</v>
      </c>
    </row>
    <row r="8" spans="1:15" x14ac:dyDescent="0.3">
      <c r="A8" t="s">
        <v>23</v>
      </c>
      <c r="B8" s="1">
        <v>45668</v>
      </c>
      <c r="C8" t="s">
        <v>24</v>
      </c>
      <c r="D8" t="s">
        <v>11</v>
      </c>
      <c r="E8">
        <v>2</v>
      </c>
      <c r="F8" s="2">
        <v>0.05</v>
      </c>
      <c r="G8" s="2" t="str">
        <f>_xlfn.XLOOKUP(D8,Products!$A$2:$A$11,Products!$B$2:$B$11)</f>
        <v>Office Chair</v>
      </c>
      <c r="H8" s="2" t="str">
        <f>_xlfn.XLOOKUP(D8,Products!$A$2:$A$11,Products!$C$2:$C$11)</f>
        <v>Office</v>
      </c>
      <c r="I8" s="3">
        <f>_xlfn.XLOOKUP(D8,Products!$A$2:$A$11,Products!$D$2:$D$11)</f>
        <v>180</v>
      </c>
      <c r="J8" s="3" t="str">
        <f>_xlfn.XLOOKUP(C8,Customers!$A$2:$A$101,Customers!$B$2:$B$101)</f>
        <v>Customer 076</v>
      </c>
      <c r="K8" s="3" t="str">
        <f>_xlfn.XLOOKUP(C8,Customers!$A$2:$A$101,Customers!$C$2:$C$101)</f>
        <v>London</v>
      </c>
      <c r="L8" s="3" t="str">
        <f>_xlfn.XLOOKUP(C8,Customers!$A$2:$A$101,Customers!$D$2:$D$101)</f>
        <v>Small Business</v>
      </c>
      <c r="M8" s="3">
        <f t="shared" si="1"/>
        <v>342</v>
      </c>
      <c r="N8" s="3">
        <f>E8*_xlfn.XLOOKUP(D8,Products!$A$2:$A$11,Products!$E$2:$E$11)</f>
        <v>210</v>
      </c>
      <c r="O8" s="3">
        <f t="shared" si="0"/>
        <v>132</v>
      </c>
    </row>
    <row r="9" spans="1:15" x14ac:dyDescent="0.3">
      <c r="A9" t="s">
        <v>25</v>
      </c>
      <c r="B9" s="1">
        <v>45661</v>
      </c>
      <c r="C9" t="s">
        <v>26</v>
      </c>
      <c r="D9" t="s">
        <v>27</v>
      </c>
      <c r="E9">
        <v>2</v>
      </c>
      <c r="F9" s="2">
        <v>0</v>
      </c>
      <c r="G9" s="2" t="str">
        <f>_xlfn.XLOOKUP(D9,Products!$A$2:$A$11,Products!$B$2:$B$11)</f>
        <v>Laptop Stand</v>
      </c>
      <c r="H9" s="2" t="str">
        <f>_xlfn.XLOOKUP(D9,Products!$A$2:$A$11,Products!$C$2:$C$11)</f>
        <v>Office</v>
      </c>
      <c r="I9" s="3">
        <f>_xlfn.XLOOKUP(D9,Products!$A$2:$A$11,Products!$D$2:$D$11)</f>
        <v>35</v>
      </c>
      <c r="J9" s="3" t="str">
        <f>_xlfn.XLOOKUP(C9,Customers!$A$2:$A$101,Customers!$B$2:$B$101)</f>
        <v>Customer 010</v>
      </c>
      <c r="K9" s="3" t="str">
        <f>_xlfn.XLOOKUP(C9,Customers!$A$2:$A$101,Customers!$C$2:$C$101)</f>
        <v>London</v>
      </c>
      <c r="L9" s="3" t="str">
        <f>_xlfn.XLOOKUP(C9,Customers!$A$2:$A$101,Customers!$D$2:$D$101)</f>
        <v>Consumer</v>
      </c>
      <c r="M9" s="3">
        <f t="shared" si="1"/>
        <v>70</v>
      </c>
      <c r="N9" s="3">
        <f>E9*_xlfn.XLOOKUP(D9,Products!$A$2:$A$11,Products!$E$2:$E$11)</f>
        <v>40</v>
      </c>
      <c r="O9" s="3">
        <f t="shared" si="0"/>
        <v>30</v>
      </c>
    </row>
    <row r="10" spans="1:15" x14ac:dyDescent="0.3">
      <c r="A10" t="s">
        <v>28</v>
      </c>
      <c r="B10" s="1">
        <v>45674</v>
      </c>
      <c r="C10" t="s">
        <v>29</v>
      </c>
      <c r="D10" t="s">
        <v>30</v>
      </c>
      <c r="E10">
        <v>5</v>
      </c>
      <c r="F10" s="2">
        <v>0.05</v>
      </c>
      <c r="G10" s="2" t="str">
        <f>_xlfn.XLOOKUP(D10,Products!$A$2:$A$11,Products!$B$2:$B$11)</f>
        <v>Wireless Mouse</v>
      </c>
      <c r="H10" s="2" t="str">
        <f>_xlfn.XLOOKUP(D10,Products!$A$2:$A$11,Products!$C$2:$C$11)</f>
        <v>Electronics</v>
      </c>
      <c r="I10" s="3">
        <f>_xlfn.XLOOKUP(D10,Products!$A$2:$A$11,Products!$D$2:$D$11)</f>
        <v>25</v>
      </c>
      <c r="J10" s="3" t="str">
        <f>_xlfn.XLOOKUP(C10,Customers!$A$2:$A$101,Customers!$B$2:$B$101)</f>
        <v>Customer 043</v>
      </c>
      <c r="K10" s="3" t="str">
        <f>_xlfn.XLOOKUP(C10,Customers!$A$2:$A$101,Customers!$C$2:$C$101)</f>
        <v>Sheffield</v>
      </c>
      <c r="L10" s="3" t="str">
        <f>_xlfn.XLOOKUP(C10,Customers!$A$2:$A$101,Customers!$D$2:$D$101)</f>
        <v>Small Business</v>
      </c>
      <c r="M10" s="3">
        <f t="shared" si="1"/>
        <v>118.75</v>
      </c>
      <c r="N10" s="3">
        <f>E10*_xlfn.XLOOKUP(D10,Products!$A$2:$A$11,Products!$E$2:$E$11)</f>
        <v>60</v>
      </c>
      <c r="O10" s="3">
        <f t="shared" si="0"/>
        <v>58.75</v>
      </c>
    </row>
    <row r="11" spans="1:15" x14ac:dyDescent="0.3">
      <c r="A11" t="s">
        <v>31</v>
      </c>
      <c r="B11" s="1">
        <v>45800</v>
      </c>
      <c r="C11" t="s">
        <v>32</v>
      </c>
      <c r="D11" t="s">
        <v>33</v>
      </c>
      <c r="E11">
        <v>2</v>
      </c>
      <c r="F11" s="2">
        <v>0.05</v>
      </c>
      <c r="G11" s="2" t="str">
        <f>_xlfn.XLOOKUP(D11,Products!$A$2:$A$11,Products!$B$2:$B$11)</f>
        <v>Notebook Pack</v>
      </c>
      <c r="H11" s="2" t="str">
        <f>_xlfn.XLOOKUP(D11,Products!$A$2:$A$11,Products!$C$2:$C$11)</f>
        <v>Stationery</v>
      </c>
      <c r="I11" s="3">
        <f>_xlfn.XLOOKUP(D11,Products!$A$2:$A$11,Products!$D$2:$D$11)</f>
        <v>12</v>
      </c>
      <c r="J11" s="3" t="str">
        <f>_xlfn.XLOOKUP(C11,Customers!$A$2:$A$101,Customers!$B$2:$B$101)</f>
        <v>Customer 086</v>
      </c>
      <c r="K11" s="3" t="str">
        <f>_xlfn.XLOOKUP(C11,Customers!$A$2:$A$101,Customers!$C$2:$C$101)</f>
        <v>Manchester</v>
      </c>
      <c r="L11" s="3" t="str">
        <f>_xlfn.XLOOKUP(C11,Customers!$A$2:$A$101,Customers!$D$2:$D$101)</f>
        <v>Small Business</v>
      </c>
      <c r="M11" s="3">
        <f t="shared" si="1"/>
        <v>22.799999999999997</v>
      </c>
      <c r="N11" s="3">
        <f>E11*_xlfn.XLOOKUP(D11,Products!$A$2:$A$11,Products!$E$2:$E$11)</f>
        <v>10</v>
      </c>
      <c r="O11" s="3">
        <f t="shared" si="0"/>
        <v>12.799999999999997</v>
      </c>
    </row>
    <row r="12" spans="1:15" x14ac:dyDescent="0.3">
      <c r="A12" t="s">
        <v>34</v>
      </c>
      <c r="B12" s="1">
        <v>45950</v>
      </c>
      <c r="C12" t="s">
        <v>35</v>
      </c>
      <c r="D12" t="s">
        <v>33</v>
      </c>
      <c r="E12">
        <v>2</v>
      </c>
      <c r="F12" s="2">
        <v>0.15</v>
      </c>
      <c r="G12" s="2" t="str">
        <f>_xlfn.XLOOKUP(D12,Products!$A$2:$A$11,Products!$B$2:$B$11)</f>
        <v>Notebook Pack</v>
      </c>
      <c r="H12" s="2" t="str">
        <f>_xlfn.XLOOKUP(D12,Products!$A$2:$A$11,Products!$C$2:$C$11)</f>
        <v>Stationery</v>
      </c>
      <c r="I12" s="3">
        <f>_xlfn.XLOOKUP(D12,Products!$A$2:$A$11,Products!$D$2:$D$11)</f>
        <v>12</v>
      </c>
      <c r="J12" s="3" t="str">
        <f>_xlfn.XLOOKUP(C12,Customers!$A$2:$A$101,Customers!$B$2:$B$101)</f>
        <v>Customer 074</v>
      </c>
      <c r="K12" s="3" t="str">
        <f>_xlfn.XLOOKUP(C12,Customers!$A$2:$A$101,Customers!$C$2:$C$101)</f>
        <v>Manchester</v>
      </c>
      <c r="L12" s="3" t="str">
        <f>_xlfn.XLOOKUP(C12,Customers!$A$2:$A$101,Customers!$D$2:$D$101)</f>
        <v>Corporate</v>
      </c>
      <c r="M12" s="3">
        <f t="shared" si="1"/>
        <v>20.399999999999999</v>
      </c>
      <c r="N12" s="3">
        <f>E12*_xlfn.XLOOKUP(D12,Products!$A$2:$A$11,Products!$E$2:$E$11)</f>
        <v>10</v>
      </c>
      <c r="O12" s="3">
        <f t="shared" si="0"/>
        <v>10.399999999999999</v>
      </c>
    </row>
    <row r="13" spans="1:15" x14ac:dyDescent="0.3">
      <c r="A13" t="s">
        <v>36</v>
      </c>
      <c r="B13" s="1">
        <v>45866</v>
      </c>
      <c r="C13" t="s">
        <v>37</v>
      </c>
      <c r="D13" t="s">
        <v>30</v>
      </c>
      <c r="E13">
        <v>1</v>
      </c>
      <c r="F13" s="2">
        <v>0.15</v>
      </c>
      <c r="G13" s="2" t="str">
        <f>_xlfn.XLOOKUP(D13,Products!$A$2:$A$11,Products!$B$2:$B$11)</f>
        <v>Wireless Mouse</v>
      </c>
      <c r="H13" s="2" t="str">
        <f>_xlfn.XLOOKUP(D13,Products!$A$2:$A$11,Products!$C$2:$C$11)</f>
        <v>Electronics</v>
      </c>
      <c r="I13" s="3">
        <f>_xlfn.XLOOKUP(D13,Products!$A$2:$A$11,Products!$D$2:$D$11)</f>
        <v>25</v>
      </c>
      <c r="J13" s="3" t="str">
        <f>_xlfn.XLOOKUP(C13,Customers!$A$2:$A$101,Customers!$B$2:$B$101)</f>
        <v>Customer 025</v>
      </c>
      <c r="K13" s="3" t="str">
        <f>_xlfn.XLOOKUP(C13,Customers!$A$2:$A$101,Customers!$C$2:$C$101)</f>
        <v>Birmingham</v>
      </c>
      <c r="L13" s="3" t="str">
        <f>_xlfn.XLOOKUP(C13,Customers!$A$2:$A$101,Customers!$D$2:$D$101)</f>
        <v>Small Business</v>
      </c>
      <c r="M13" s="3">
        <f t="shared" si="1"/>
        <v>21.25</v>
      </c>
      <c r="N13" s="3">
        <f>E13*_xlfn.XLOOKUP(D13,Products!$A$2:$A$11,Products!$E$2:$E$11)</f>
        <v>12</v>
      </c>
      <c r="O13" s="3">
        <f t="shared" si="0"/>
        <v>9.25</v>
      </c>
    </row>
    <row r="14" spans="1:15" x14ac:dyDescent="0.3">
      <c r="A14" t="s">
        <v>38</v>
      </c>
      <c r="B14" s="1">
        <v>45839</v>
      </c>
      <c r="C14" t="s">
        <v>39</v>
      </c>
      <c r="D14" t="s">
        <v>16</v>
      </c>
      <c r="E14">
        <v>4</v>
      </c>
      <c r="F14" s="2">
        <v>0</v>
      </c>
      <c r="G14" s="2" t="str">
        <f>_xlfn.XLOOKUP(D14,Products!$A$2:$A$11,Products!$B$2:$B$11)</f>
        <v>Headphones</v>
      </c>
      <c r="H14" s="2" t="str">
        <f>_xlfn.XLOOKUP(D14,Products!$A$2:$A$11,Products!$C$2:$C$11)</f>
        <v>Electronics</v>
      </c>
      <c r="I14" s="3">
        <f>_xlfn.XLOOKUP(D14,Products!$A$2:$A$11,Products!$D$2:$D$11)</f>
        <v>75</v>
      </c>
      <c r="J14" s="3" t="str">
        <f>_xlfn.XLOOKUP(C14,Customers!$A$2:$A$101,Customers!$B$2:$B$101)</f>
        <v>Customer 055</v>
      </c>
      <c r="K14" s="3" t="str">
        <f>_xlfn.XLOOKUP(C14,Customers!$A$2:$A$101,Customers!$C$2:$C$101)</f>
        <v>London</v>
      </c>
      <c r="L14" s="3" t="str">
        <f>_xlfn.XLOOKUP(C14,Customers!$A$2:$A$101,Customers!$D$2:$D$101)</f>
        <v>Small Business</v>
      </c>
      <c r="M14" s="3">
        <f t="shared" si="1"/>
        <v>300</v>
      </c>
      <c r="N14" s="3">
        <f>E14*_xlfn.XLOOKUP(D14,Products!$A$2:$A$11,Products!$E$2:$E$11)</f>
        <v>160</v>
      </c>
      <c r="O14" s="3">
        <f t="shared" si="0"/>
        <v>140</v>
      </c>
    </row>
    <row r="15" spans="1:15" x14ac:dyDescent="0.3">
      <c r="A15" t="s">
        <v>40</v>
      </c>
      <c r="B15" s="1">
        <v>46002</v>
      </c>
      <c r="C15" t="s">
        <v>41</v>
      </c>
      <c r="D15" t="s">
        <v>30</v>
      </c>
      <c r="E15">
        <v>1</v>
      </c>
      <c r="F15" s="2">
        <v>0.15</v>
      </c>
      <c r="G15" s="2" t="str">
        <f>_xlfn.XLOOKUP(D15,Products!$A$2:$A$11,Products!$B$2:$B$11)</f>
        <v>Wireless Mouse</v>
      </c>
      <c r="H15" s="2" t="str">
        <f>_xlfn.XLOOKUP(D15,Products!$A$2:$A$11,Products!$C$2:$C$11)</f>
        <v>Electronics</v>
      </c>
      <c r="I15" s="3">
        <f>_xlfn.XLOOKUP(D15,Products!$A$2:$A$11,Products!$D$2:$D$11)</f>
        <v>25</v>
      </c>
      <c r="J15" s="3" t="str">
        <f>_xlfn.XLOOKUP(C15,Customers!$A$2:$A$101,Customers!$B$2:$B$101)</f>
        <v>Customer 084</v>
      </c>
      <c r="K15" s="3" t="str">
        <f>_xlfn.XLOOKUP(C15,Customers!$A$2:$A$101,Customers!$C$2:$C$101)</f>
        <v>Birmingham</v>
      </c>
      <c r="L15" s="3" t="str">
        <f>_xlfn.XLOOKUP(C15,Customers!$A$2:$A$101,Customers!$D$2:$D$101)</f>
        <v>Consumer</v>
      </c>
      <c r="M15" s="3">
        <f t="shared" si="1"/>
        <v>21.25</v>
      </c>
      <c r="N15" s="3">
        <f>E15*_xlfn.XLOOKUP(D15,Products!$A$2:$A$11,Products!$E$2:$E$11)</f>
        <v>12</v>
      </c>
      <c r="O15" s="3">
        <f t="shared" si="0"/>
        <v>9.25</v>
      </c>
    </row>
    <row r="16" spans="1:15" x14ac:dyDescent="0.3">
      <c r="A16" t="s">
        <v>42</v>
      </c>
      <c r="B16" s="1">
        <v>45831</v>
      </c>
      <c r="C16" t="s">
        <v>43</v>
      </c>
      <c r="D16" t="s">
        <v>22</v>
      </c>
      <c r="E16">
        <v>2</v>
      </c>
      <c r="F16" s="2">
        <v>0.05</v>
      </c>
      <c r="G16" s="2" t="str">
        <f>_xlfn.XLOOKUP(D16,Products!$A$2:$A$11,Products!$B$2:$B$11)</f>
        <v>Desk Lamp</v>
      </c>
      <c r="H16" s="2" t="str">
        <f>_xlfn.XLOOKUP(D16,Products!$A$2:$A$11,Products!$C$2:$C$11)</f>
        <v>Office</v>
      </c>
      <c r="I16" s="3">
        <f>_xlfn.XLOOKUP(D16,Products!$A$2:$A$11,Products!$D$2:$D$11)</f>
        <v>30</v>
      </c>
      <c r="J16" s="3" t="str">
        <f>_xlfn.XLOOKUP(C16,Customers!$A$2:$A$101,Customers!$B$2:$B$101)</f>
        <v>Customer 014</v>
      </c>
      <c r="K16" s="3" t="str">
        <f>_xlfn.XLOOKUP(C16,Customers!$A$2:$A$101,Customers!$C$2:$C$101)</f>
        <v>Sheffield</v>
      </c>
      <c r="L16" s="3" t="str">
        <f>_xlfn.XLOOKUP(C16,Customers!$A$2:$A$101,Customers!$D$2:$D$101)</f>
        <v>Corporate</v>
      </c>
      <c r="M16" s="3">
        <f t="shared" si="1"/>
        <v>57</v>
      </c>
      <c r="N16" s="3">
        <f>E16*_xlfn.XLOOKUP(D16,Products!$A$2:$A$11,Products!$E$2:$E$11)</f>
        <v>30</v>
      </c>
      <c r="O16" s="3">
        <f t="shared" si="0"/>
        <v>27</v>
      </c>
    </row>
    <row r="17" spans="1:15" x14ac:dyDescent="0.3">
      <c r="A17" t="s">
        <v>44</v>
      </c>
      <c r="B17" s="1">
        <v>45932</v>
      </c>
      <c r="C17" t="s">
        <v>45</v>
      </c>
      <c r="D17" t="s">
        <v>46</v>
      </c>
      <c r="E17">
        <v>4</v>
      </c>
      <c r="F17" s="2">
        <v>0.05</v>
      </c>
      <c r="G17" s="2" t="str">
        <f>_xlfn.XLOOKUP(D17,Products!$A$2:$A$11,Products!$B$2:$B$11)</f>
        <v>Keyboard</v>
      </c>
      <c r="H17" s="2" t="str">
        <f>_xlfn.XLOOKUP(D17,Products!$A$2:$A$11,Products!$C$2:$C$11)</f>
        <v>Electronics</v>
      </c>
      <c r="I17" s="3">
        <f>_xlfn.XLOOKUP(D17,Products!$A$2:$A$11,Products!$D$2:$D$11)</f>
        <v>45</v>
      </c>
      <c r="J17" s="3" t="str">
        <f>_xlfn.XLOOKUP(C17,Customers!$A$2:$A$101,Customers!$B$2:$B$101)</f>
        <v>Customer 058</v>
      </c>
      <c r="K17" s="3" t="str">
        <f>_xlfn.XLOOKUP(C17,Customers!$A$2:$A$101,Customers!$C$2:$C$101)</f>
        <v>Bristol</v>
      </c>
      <c r="L17" s="3" t="str">
        <f>_xlfn.XLOOKUP(C17,Customers!$A$2:$A$101,Customers!$D$2:$D$101)</f>
        <v>Corporate</v>
      </c>
      <c r="M17" s="3">
        <f t="shared" si="1"/>
        <v>171</v>
      </c>
      <c r="N17" s="3">
        <f>E17*_xlfn.XLOOKUP(D17,Products!$A$2:$A$11,Products!$E$2:$E$11)</f>
        <v>88</v>
      </c>
      <c r="O17" s="3">
        <f t="shared" si="0"/>
        <v>83</v>
      </c>
    </row>
    <row r="18" spans="1:15" x14ac:dyDescent="0.3">
      <c r="A18" t="s">
        <v>47</v>
      </c>
      <c r="B18" s="1">
        <v>45800</v>
      </c>
      <c r="C18" t="s">
        <v>48</v>
      </c>
      <c r="D18" t="s">
        <v>22</v>
      </c>
      <c r="E18">
        <v>1</v>
      </c>
      <c r="F18" s="2">
        <v>0.15</v>
      </c>
      <c r="G18" s="2" t="str">
        <f>_xlfn.XLOOKUP(D18,Products!$A$2:$A$11,Products!$B$2:$B$11)</f>
        <v>Desk Lamp</v>
      </c>
      <c r="H18" s="2" t="str">
        <f>_xlfn.XLOOKUP(D18,Products!$A$2:$A$11,Products!$C$2:$C$11)</f>
        <v>Office</v>
      </c>
      <c r="I18" s="3">
        <f>_xlfn.XLOOKUP(D18,Products!$A$2:$A$11,Products!$D$2:$D$11)</f>
        <v>30</v>
      </c>
      <c r="J18" s="3" t="str">
        <f>_xlfn.XLOOKUP(C18,Customers!$A$2:$A$101,Customers!$B$2:$B$101)</f>
        <v>Customer 060</v>
      </c>
      <c r="K18" s="3" t="str">
        <f>_xlfn.XLOOKUP(C18,Customers!$A$2:$A$101,Customers!$C$2:$C$101)</f>
        <v>Sheffield</v>
      </c>
      <c r="L18" s="3" t="str">
        <f>_xlfn.XLOOKUP(C18,Customers!$A$2:$A$101,Customers!$D$2:$D$101)</f>
        <v>Small Business</v>
      </c>
      <c r="M18" s="3">
        <f t="shared" si="1"/>
        <v>25.5</v>
      </c>
      <c r="N18" s="3">
        <f>E18*_xlfn.XLOOKUP(D18,Products!$A$2:$A$11,Products!$E$2:$E$11)</f>
        <v>15</v>
      </c>
      <c r="O18" s="3">
        <f t="shared" si="0"/>
        <v>10.5</v>
      </c>
    </row>
    <row r="19" spans="1:15" x14ac:dyDescent="0.3">
      <c r="A19" t="s">
        <v>49</v>
      </c>
      <c r="B19" s="1">
        <v>45939</v>
      </c>
      <c r="C19" t="s">
        <v>50</v>
      </c>
      <c r="D19" t="s">
        <v>27</v>
      </c>
      <c r="E19">
        <v>5</v>
      </c>
      <c r="F19" s="2">
        <v>0</v>
      </c>
      <c r="G19" s="2" t="str">
        <f>_xlfn.XLOOKUP(D19,Products!$A$2:$A$11,Products!$B$2:$B$11)</f>
        <v>Laptop Stand</v>
      </c>
      <c r="H19" s="2" t="str">
        <f>_xlfn.XLOOKUP(D19,Products!$A$2:$A$11,Products!$C$2:$C$11)</f>
        <v>Office</v>
      </c>
      <c r="I19" s="3">
        <f>_xlfn.XLOOKUP(D19,Products!$A$2:$A$11,Products!$D$2:$D$11)</f>
        <v>35</v>
      </c>
      <c r="J19" s="3" t="str">
        <f>_xlfn.XLOOKUP(C19,Customers!$A$2:$A$101,Customers!$B$2:$B$101)</f>
        <v>Customer 013</v>
      </c>
      <c r="K19" s="3" t="str">
        <f>_xlfn.XLOOKUP(C19,Customers!$A$2:$A$101,Customers!$C$2:$C$101)</f>
        <v>Bristol</v>
      </c>
      <c r="L19" s="3" t="str">
        <f>_xlfn.XLOOKUP(C19,Customers!$A$2:$A$101,Customers!$D$2:$D$101)</f>
        <v>Consumer</v>
      </c>
      <c r="M19" s="3">
        <f t="shared" si="1"/>
        <v>175</v>
      </c>
      <c r="N19" s="3">
        <f>E19*_xlfn.XLOOKUP(D19,Products!$A$2:$A$11,Products!$E$2:$E$11)</f>
        <v>100</v>
      </c>
      <c r="O19" s="3">
        <f t="shared" si="0"/>
        <v>75</v>
      </c>
    </row>
    <row r="20" spans="1:15" x14ac:dyDescent="0.3">
      <c r="A20" t="s">
        <v>51</v>
      </c>
      <c r="B20" s="1">
        <v>45705</v>
      </c>
      <c r="C20" t="s">
        <v>52</v>
      </c>
      <c r="D20" t="s">
        <v>22</v>
      </c>
      <c r="E20">
        <v>2</v>
      </c>
      <c r="F20" s="2">
        <v>0.15</v>
      </c>
      <c r="G20" s="2" t="str">
        <f>_xlfn.XLOOKUP(D20,Products!$A$2:$A$11,Products!$B$2:$B$11)</f>
        <v>Desk Lamp</v>
      </c>
      <c r="H20" s="2" t="str">
        <f>_xlfn.XLOOKUP(D20,Products!$A$2:$A$11,Products!$C$2:$C$11)</f>
        <v>Office</v>
      </c>
      <c r="I20" s="3">
        <f>_xlfn.XLOOKUP(D20,Products!$A$2:$A$11,Products!$D$2:$D$11)</f>
        <v>30</v>
      </c>
      <c r="J20" s="3" t="str">
        <f>_xlfn.XLOOKUP(C20,Customers!$A$2:$A$101,Customers!$B$2:$B$101)</f>
        <v>Customer 097</v>
      </c>
      <c r="K20" s="3" t="str">
        <f>_xlfn.XLOOKUP(C20,Customers!$A$2:$A$101,Customers!$C$2:$C$101)</f>
        <v>Bristol</v>
      </c>
      <c r="L20" s="3" t="str">
        <f>_xlfn.XLOOKUP(C20,Customers!$A$2:$A$101,Customers!$D$2:$D$101)</f>
        <v>Small Business</v>
      </c>
      <c r="M20" s="3">
        <f t="shared" si="1"/>
        <v>51</v>
      </c>
      <c r="N20" s="3">
        <f>E20*_xlfn.XLOOKUP(D20,Products!$A$2:$A$11,Products!$E$2:$E$11)</f>
        <v>30</v>
      </c>
      <c r="O20" s="3">
        <f t="shared" si="0"/>
        <v>21</v>
      </c>
    </row>
    <row r="21" spans="1:15" x14ac:dyDescent="0.3">
      <c r="A21" t="s">
        <v>53</v>
      </c>
      <c r="B21" s="1">
        <v>45906</v>
      </c>
      <c r="C21" t="s">
        <v>54</v>
      </c>
      <c r="D21" t="s">
        <v>22</v>
      </c>
      <c r="E21">
        <v>4</v>
      </c>
      <c r="F21" s="2">
        <v>0</v>
      </c>
      <c r="G21" s="2" t="str">
        <f>_xlfn.XLOOKUP(D21,Products!$A$2:$A$11,Products!$B$2:$B$11)</f>
        <v>Desk Lamp</v>
      </c>
      <c r="H21" s="2" t="str">
        <f>_xlfn.XLOOKUP(D21,Products!$A$2:$A$11,Products!$C$2:$C$11)</f>
        <v>Office</v>
      </c>
      <c r="I21" s="3">
        <f>_xlfn.XLOOKUP(D21,Products!$A$2:$A$11,Products!$D$2:$D$11)</f>
        <v>30</v>
      </c>
      <c r="J21" s="3" t="str">
        <f>_xlfn.XLOOKUP(C21,Customers!$A$2:$A$101,Customers!$B$2:$B$101)</f>
        <v>Customer 062</v>
      </c>
      <c r="K21" s="3" t="str">
        <f>_xlfn.XLOOKUP(C21,Customers!$A$2:$A$101,Customers!$C$2:$C$101)</f>
        <v>Leeds</v>
      </c>
      <c r="L21" s="3" t="str">
        <f>_xlfn.XLOOKUP(C21,Customers!$A$2:$A$101,Customers!$D$2:$D$101)</f>
        <v>Consumer</v>
      </c>
      <c r="M21" s="3">
        <f t="shared" si="1"/>
        <v>120</v>
      </c>
      <c r="N21" s="3">
        <f>E21*_xlfn.XLOOKUP(D21,Products!$A$2:$A$11,Products!$E$2:$E$11)</f>
        <v>60</v>
      </c>
      <c r="O21" s="3">
        <f t="shared" si="0"/>
        <v>60</v>
      </c>
    </row>
    <row r="22" spans="1:15" x14ac:dyDescent="0.3">
      <c r="A22" t="s">
        <v>55</v>
      </c>
      <c r="B22" s="1">
        <v>45742</v>
      </c>
      <c r="C22" t="s">
        <v>56</v>
      </c>
      <c r="D22" t="s">
        <v>27</v>
      </c>
      <c r="E22">
        <v>4</v>
      </c>
      <c r="F22" s="2">
        <v>0.1</v>
      </c>
      <c r="G22" s="2" t="str">
        <f>_xlfn.XLOOKUP(D22,Products!$A$2:$A$11,Products!$B$2:$B$11)</f>
        <v>Laptop Stand</v>
      </c>
      <c r="H22" s="2" t="str">
        <f>_xlfn.XLOOKUP(D22,Products!$A$2:$A$11,Products!$C$2:$C$11)</f>
        <v>Office</v>
      </c>
      <c r="I22" s="3">
        <f>_xlfn.XLOOKUP(D22,Products!$A$2:$A$11,Products!$D$2:$D$11)</f>
        <v>35</v>
      </c>
      <c r="J22" s="3" t="str">
        <f>_xlfn.XLOOKUP(C22,Customers!$A$2:$A$101,Customers!$B$2:$B$101)</f>
        <v>Customer 049</v>
      </c>
      <c r="K22" s="3" t="str">
        <f>_xlfn.XLOOKUP(C22,Customers!$A$2:$A$101,Customers!$C$2:$C$101)</f>
        <v>Manchester</v>
      </c>
      <c r="L22" s="3" t="str">
        <f>_xlfn.XLOOKUP(C22,Customers!$A$2:$A$101,Customers!$D$2:$D$101)</f>
        <v>Small Business</v>
      </c>
      <c r="M22" s="3">
        <f t="shared" si="1"/>
        <v>126</v>
      </c>
      <c r="N22" s="3">
        <f>E22*_xlfn.XLOOKUP(D22,Products!$A$2:$A$11,Products!$E$2:$E$11)</f>
        <v>80</v>
      </c>
      <c r="O22" s="3">
        <f t="shared" si="0"/>
        <v>46</v>
      </c>
    </row>
    <row r="23" spans="1:15" x14ac:dyDescent="0.3">
      <c r="A23" t="s">
        <v>57</v>
      </c>
      <c r="B23" s="1">
        <v>45890</v>
      </c>
      <c r="C23" t="s">
        <v>58</v>
      </c>
      <c r="D23" t="s">
        <v>16</v>
      </c>
      <c r="E23">
        <v>5</v>
      </c>
      <c r="F23" s="2">
        <v>0.15</v>
      </c>
      <c r="G23" s="2" t="str">
        <f>_xlfn.XLOOKUP(D23,Products!$A$2:$A$11,Products!$B$2:$B$11)</f>
        <v>Headphones</v>
      </c>
      <c r="H23" s="2" t="str">
        <f>_xlfn.XLOOKUP(D23,Products!$A$2:$A$11,Products!$C$2:$C$11)</f>
        <v>Electronics</v>
      </c>
      <c r="I23" s="3">
        <f>_xlfn.XLOOKUP(D23,Products!$A$2:$A$11,Products!$D$2:$D$11)</f>
        <v>75</v>
      </c>
      <c r="J23" s="3" t="str">
        <f>_xlfn.XLOOKUP(C23,Customers!$A$2:$A$101,Customers!$B$2:$B$101)</f>
        <v>Customer 037</v>
      </c>
      <c r="K23" s="3" t="str">
        <f>_xlfn.XLOOKUP(C23,Customers!$A$2:$A$101,Customers!$C$2:$C$101)</f>
        <v>London</v>
      </c>
      <c r="L23" s="3" t="str">
        <f>_xlfn.XLOOKUP(C23,Customers!$A$2:$A$101,Customers!$D$2:$D$101)</f>
        <v>Consumer</v>
      </c>
      <c r="M23" s="3">
        <f t="shared" si="1"/>
        <v>318.75</v>
      </c>
      <c r="N23" s="3">
        <f>E23*_xlfn.XLOOKUP(D23,Products!$A$2:$A$11,Products!$E$2:$E$11)</f>
        <v>200</v>
      </c>
      <c r="O23" s="3">
        <f t="shared" si="0"/>
        <v>118.75</v>
      </c>
    </row>
    <row r="24" spans="1:15" x14ac:dyDescent="0.3">
      <c r="A24" t="s">
        <v>59</v>
      </c>
      <c r="B24" s="1">
        <v>45737</v>
      </c>
      <c r="C24" t="s">
        <v>37</v>
      </c>
      <c r="D24" t="s">
        <v>60</v>
      </c>
      <c r="E24">
        <v>2</v>
      </c>
      <c r="F24" s="2">
        <v>0</v>
      </c>
      <c r="G24" s="2" t="str">
        <f>_xlfn.XLOOKUP(D24,Products!$A$2:$A$11,Products!$B$2:$B$11)</f>
        <v>Water Bottle</v>
      </c>
      <c r="H24" s="2" t="str">
        <f>_xlfn.XLOOKUP(D24,Products!$A$2:$A$11,Products!$C$2:$C$11)</f>
        <v>Lifestyle</v>
      </c>
      <c r="I24" s="3">
        <f>_xlfn.XLOOKUP(D24,Products!$A$2:$A$11,Products!$D$2:$D$11)</f>
        <v>18</v>
      </c>
      <c r="J24" s="3" t="str">
        <f>_xlfn.XLOOKUP(C24,Customers!$A$2:$A$101,Customers!$B$2:$B$101)</f>
        <v>Customer 025</v>
      </c>
      <c r="K24" s="3" t="str">
        <f>_xlfn.XLOOKUP(C24,Customers!$A$2:$A$101,Customers!$C$2:$C$101)</f>
        <v>Birmingham</v>
      </c>
      <c r="L24" s="3" t="str">
        <f>_xlfn.XLOOKUP(C24,Customers!$A$2:$A$101,Customers!$D$2:$D$101)</f>
        <v>Small Business</v>
      </c>
      <c r="M24" s="3">
        <f t="shared" si="1"/>
        <v>36</v>
      </c>
      <c r="N24" s="3">
        <f>E24*_xlfn.XLOOKUP(D24,Products!$A$2:$A$11,Products!$E$2:$E$11)</f>
        <v>14</v>
      </c>
      <c r="O24" s="3">
        <f t="shared" si="0"/>
        <v>22</v>
      </c>
    </row>
    <row r="25" spans="1:15" x14ac:dyDescent="0.3">
      <c r="A25" t="s">
        <v>61</v>
      </c>
      <c r="B25" s="1">
        <v>45954</v>
      </c>
      <c r="C25" t="s">
        <v>62</v>
      </c>
      <c r="D25" t="s">
        <v>11</v>
      </c>
      <c r="E25">
        <v>1</v>
      </c>
      <c r="F25" s="2">
        <v>0.1</v>
      </c>
      <c r="G25" s="2" t="str">
        <f>_xlfn.XLOOKUP(D25,Products!$A$2:$A$11,Products!$B$2:$B$11)</f>
        <v>Office Chair</v>
      </c>
      <c r="H25" s="2" t="str">
        <f>_xlfn.XLOOKUP(D25,Products!$A$2:$A$11,Products!$C$2:$C$11)</f>
        <v>Office</v>
      </c>
      <c r="I25" s="3">
        <f>_xlfn.XLOOKUP(D25,Products!$A$2:$A$11,Products!$D$2:$D$11)</f>
        <v>180</v>
      </c>
      <c r="J25" s="3" t="str">
        <f>_xlfn.XLOOKUP(C25,Customers!$A$2:$A$101,Customers!$B$2:$B$101)</f>
        <v>Customer 095</v>
      </c>
      <c r="K25" s="3" t="str">
        <f>_xlfn.XLOOKUP(C25,Customers!$A$2:$A$101,Customers!$C$2:$C$101)</f>
        <v>Manchester</v>
      </c>
      <c r="L25" s="3" t="str">
        <f>_xlfn.XLOOKUP(C25,Customers!$A$2:$A$101,Customers!$D$2:$D$101)</f>
        <v>Corporate</v>
      </c>
      <c r="M25" s="3">
        <f t="shared" si="1"/>
        <v>162</v>
      </c>
      <c r="N25" s="3">
        <f>E25*_xlfn.XLOOKUP(D25,Products!$A$2:$A$11,Products!$E$2:$E$11)</f>
        <v>105</v>
      </c>
      <c r="O25" s="3">
        <f t="shared" si="0"/>
        <v>57</v>
      </c>
    </row>
    <row r="26" spans="1:15" x14ac:dyDescent="0.3">
      <c r="A26" t="s">
        <v>63</v>
      </c>
      <c r="B26" s="1">
        <v>45687</v>
      </c>
      <c r="C26" t="s">
        <v>64</v>
      </c>
      <c r="D26" t="s">
        <v>8</v>
      </c>
      <c r="E26">
        <v>4</v>
      </c>
      <c r="F26" s="2">
        <v>0.05</v>
      </c>
      <c r="G26" s="2" t="str">
        <f>_xlfn.XLOOKUP(D26,Products!$A$2:$A$11,Products!$B$2:$B$11)</f>
        <v>USB-C Hub</v>
      </c>
      <c r="H26" s="2" t="str">
        <f>_xlfn.XLOOKUP(D26,Products!$A$2:$A$11,Products!$C$2:$C$11)</f>
        <v>Electronics</v>
      </c>
      <c r="I26" s="3">
        <f>_xlfn.XLOOKUP(D26,Products!$A$2:$A$11,Products!$D$2:$D$11)</f>
        <v>40</v>
      </c>
      <c r="J26" s="3" t="str">
        <f>_xlfn.XLOOKUP(C26,Customers!$A$2:$A$101,Customers!$B$2:$B$101)</f>
        <v>Customer 007</v>
      </c>
      <c r="K26" s="3" t="str">
        <f>_xlfn.XLOOKUP(C26,Customers!$A$2:$A$101,Customers!$C$2:$C$101)</f>
        <v>Bristol</v>
      </c>
      <c r="L26" s="3" t="str">
        <f>_xlfn.XLOOKUP(C26,Customers!$A$2:$A$101,Customers!$D$2:$D$101)</f>
        <v>Consumer</v>
      </c>
      <c r="M26" s="3">
        <f t="shared" si="1"/>
        <v>152</v>
      </c>
      <c r="N26" s="3">
        <f>E26*_xlfn.XLOOKUP(D26,Products!$A$2:$A$11,Products!$E$2:$E$11)</f>
        <v>76</v>
      </c>
      <c r="O26" s="3">
        <f t="shared" si="0"/>
        <v>76</v>
      </c>
    </row>
    <row r="27" spans="1:15" x14ac:dyDescent="0.3">
      <c r="A27" t="s">
        <v>65</v>
      </c>
      <c r="B27" s="1">
        <v>45687</v>
      </c>
      <c r="C27" t="s">
        <v>66</v>
      </c>
      <c r="D27" t="s">
        <v>30</v>
      </c>
      <c r="E27">
        <v>2</v>
      </c>
      <c r="F27" s="2">
        <v>0</v>
      </c>
      <c r="G27" s="2" t="str">
        <f>_xlfn.XLOOKUP(D27,Products!$A$2:$A$11,Products!$B$2:$B$11)</f>
        <v>Wireless Mouse</v>
      </c>
      <c r="H27" s="2" t="str">
        <f>_xlfn.XLOOKUP(D27,Products!$A$2:$A$11,Products!$C$2:$C$11)</f>
        <v>Electronics</v>
      </c>
      <c r="I27" s="3">
        <f>_xlfn.XLOOKUP(D27,Products!$A$2:$A$11,Products!$D$2:$D$11)</f>
        <v>25</v>
      </c>
      <c r="J27" s="3" t="str">
        <f>_xlfn.XLOOKUP(C27,Customers!$A$2:$A$101,Customers!$B$2:$B$101)</f>
        <v>Customer 066</v>
      </c>
      <c r="K27" s="3" t="str">
        <f>_xlfn.XLOOKUP(C27,Customers!$A$2:$A$101,Customers!$C$2:$C$101)</f>
        <v>Birmingham</v>
      </c>
      <c r="L27" s="3" t="str">
        <f>_xlfn.XLOOKUP(C27,Customers!$A$2:$A$101,Customers!$D$2:$D$101)</f>
        <v>Corporate</v>
      </c>
      <c r="M27" s="3">
        <f t="shared" si="1"/>
        <v>50</v>
      </c>
      <c r="N27" s="3">
        <f>E27*_xlfn.XLOOKUP(D27,Products!$A$2:$A$11,Products!$E$2:$E$11)</f>
        <v>24</v>
      </c>
      <c r="O27" s="3">
        <f t="shared" si="0"/>
        <v>26</v>
      </c>
    </row>
    <row r="28" spans="1:15" x14ac:dyDescent="0.3">
      <c r="A28" t="s">
        <v>67</v>
      </c>
      <c r="B28" s="1">
        <v>45962</v>
      </c>
      <c r="C28" t="s">
        <v>10</v>
      </c>
      <c r="D28" t="s">
        <v>22</v>
      </c>
      <c r="E28">
        <v>4</v>
      </c>
      <c r="F28" s="2">
        <v>0</v>
      </c>
      <c r="G28" s="2" t="str">
        <f>_xlfn.XLOOKUP(D28,Products!$A$2:$A$11,Products!$B$2:$B$11)</f>
        <v>Desk Lamp</v>
      </c>
      <c r="H28" s="2" t="str">
        <f>_xlfn.XLOOKUP(D28,Products!$A$2:$A$11,Products!$C$2:$C$11)</f>
        <v>Office</v>
      </c>
      <c r="I28" s="3">
        <f>_xlfn.XLOOKUP(D28,Products!$A$2:$A$11,Products!$D$2:$D$11)</f>
        <v>30</v>
      </c>
      <c r="J28" s="3" t="str">
        <f>_xlfn.XLOOKUP(C28,Customers!$A$2:$A$101,Customers!$B$2:$B$101)</f>
        <v>Customer 009</v>
      </c>
      <c r="K28" s="3" t="str">
        <f>_xlfn.XLOOKUP(C28,Customers!$A$2:$A$101,Customers!$C$2:$C$101)</f>
        <v>London</v>
      </c>
      <c r="L28" s="3" t="str">
        <f>_xlfn.XLOOKUP(C28,Customers!$A$2:$A$101,Customers!$D$2:$D$101)</f>
        <v>Consumer</v>
      </c>
      <c r="M28" s="3">
        <f t="shared" si="1"/>
        <v>120</v>
      </c>
      <c r="N28" s="3">
        <f>E28*_xlfn.XLOOKUP(D28,Products!$A$2:$A$11,Products!$E$2:$E$11)</f>
        <v>60</v>
      </c>
      <c r="O28" s="3">
        <f t="shared" si="0"/>
        <v>60</v>
      </c>
    </row>
    <row r="29" spans="1:15" x14ac:dyDescent="0.3">
      <c r="A29" t="s">
        <v>68</v>
      </c>
      <c r="B29" s="1">
        <v>45949</v>
      </c>
      <c r="C29" t="s">
        <v>21</v>
      </c>
      <c r="D29" t="s">
        <v>8</v>
      </c>
      <c r="E29">
        <v>5</v>
      </c>
      <c r="F29" s="2">
        <v>0</v>
      </c>
      <c r="G29" s="2" t="str">
        <f>_xlfn.XLOOKUP(D29,Products!$A$2:$A$11,Products!$B$2:$B$11)</f>
        <v>USB-C Hub</v>
      </c>
      <c r="H29" s="2" t="str">
        <f>_xlfn.XLOOKUP(D29,Products!$A$2:$A$11,Products!$C$2:$C$11)</f>
        <v>Electronics</v>
      </c>
      <c r="I29" s="3">
        <f>_xlfn.XLOOKUP(D29,Products!$A$2:$A$11,Products!$D$2:$D$11)</f>
        <v>40</v>
      </c>
      <c r="J29" s="3" t="str">
        <f>_xlfn.XLOOKUP(C29,Customers!$A$2:$A$101,Customers!$B$2:$B$101)</f>
        <v>Customer 032</v>
      </c>
      <c r="K29" s="3" t="str">
        <f>_xlfn.XLOOKUP(C29,Customers!$A$2:$A$101,Customers!$C$2:$C$101)</f>
        <v>Bristol</v>
      </c>
      <c r="L29" s="3" t="str">
        <f>_xlfn.XLOOKUP(C29,Customers!$A$2:$A$101,Customers!$D$2:$D$101)</f>
        <v>Small Business</v>
      </c>
      <c r="M29" s="3">
        <f t="shared" si="1"/>
        <v>200</v>
      </c>
      <c r="N29" s="3">
        <f>E29*_xlfn.XLOOKUP(D29,Products!$A$2:$A$11,Products!$E$2:$E$11)</f>
        <v>95</v>
      </c>
      <c r="O29" s="3">
        <f t="shared" si="0"/>
        <v>105</v>
      </c>
    </row>
    <row r="30" spans="1:15" x14ac:dyDescent="0.3">
      <c r="A30" t="s">
        <v>69</v>
      </c>
      <c r="B30" s="1">
        <v>45975</v>
      </c>
      <c r="C30" t="s">
        <v>70</v>
      </c>
      <c r="D30" t="s">
        <v>16</v>
      </c>
      <c r="E30">
        <v>5</v>
      </c>
      <c r="F30" s="2">
        <v>0.1</v>
      </c>
      <c r="G30" s="2" t="str">
        <f>_xlfn.XLOOKUP(D30,Products!$A$2:$A$11,Products!$B$2:$B$11)</f>
        <v>Headphones</v>
      </c>
      <c r="H30" s="2" t="str">
        <f>_xlfn.XLOOKUP(D30,Products!$A$2:$A$11,Products!$C$2:$C$11)</f>
        <v>Electronics</v>
      </c>
      <c r="I30" s="3">
        <f>_xlfn.XLOOKUP(D30,Products!$A$2:$A$11,Products!$D$2:$D$11)</f>
        <v>75</v>
      </c>
      <c r="J30" s="3" t="str">
        <f>_xlfn.XLOOKUP(C30,Customers!$A$2:$A$101,Customers!$B$2:$B$101)</f>
        <v>Customer 011</v>
      </c>
      <c r="K30" s="3" t="str">
        <f>_xlfn.XLOOKUP(C30,Customers!$A$2:$A$101,Customers!$C$2:$C$101)</f>
        <v>Manchester</v>
      </c>
      <c r="L30" s="3" t="str">
        <f>_xlfn.XLOOKUP(C30,Customers!$A$2:$A$101,Customers!$D$2:$D$101)</f>
        <v>Corporate</v>
      </c>
      <c r="M30" s="3">
        <f t="shared" si="1"/>
        <v>337.5</v>
      </c>
      <c r="N30" s="3">
        <f>E30*_xlfn.XLOOKUP(D30,Products!$A$2:$A$11,Products!$E$2:$E$11)</f>
        <v>200</v>
      </c>
      <c r="O30" s="3">
        <f t="shared" si="0"/>
        <v>137.5</v>
      </c>
    </row>
    <row r="31" spans="1:15" x14ac:dyDescent="0.3">
      <c r="A31" t="s">
        <v>71</v>
      </c>
      <c r="B31" s="1">
        <v>45791</v>
      </c>
      <c r="C31" t="s">
        <v>72</v>
      </c>
      <c r="D31" t="s">
        <v>19</v>
      </c>
      <c r="E31">
        <v>2</v>
      </c>
      <c r="F31" s="2">
        <v>0.1</v>
      </c>
      <c r="G31" s="2" t="str">
        <f>_xlfn.XLOOKUP(D31,Products!$A$2:$A$11,Products!$B$2:$B$11)</f>
        <v>Backpack</v>
      </c>
      <c r="H31" s="2" t="str">
        <f>_xlfn.XLOOKUP(D31,Products!$A$2:$A$11,Products!$C$2:$C$11)</f>
        <v>Lifestyle</v>
      </c>
      <c r="I31" s="3">
        <f>_xlfn.XLOOKUP(D31,Products!$A$2:$A$11,Products!$D$2:$D$11)</f>
        <v>55</v>
      </c>
      <c r="J31" s="3" t="str">
        <f>_xlfn.XLOOKUP(C31,Customers!$A$2:$A$101,Customers!$B$2:$B$101)</f>
        <v>Customer 027</v>
      </c>
      <c r="K31" s="3" t="str">
        <f>_xlfn.XLOOKUP(C31,Customers!$A$2:$A$101,Customers!$C$2:$C$101)</f>
        <v>London</v>
      </c>
      <c r="L31" s="3" t="str">
        <f>_xlfn.XLOOKUP(C31,Customers!$A$2:$A$101,Customers!$D$2:$D$101)</f>
        <v>Corporate</v>
      </c>
      <c r="M31" s="3">
        <f t="shared" si="1"/>
        <v>99</v>
      </c>
      <c r="N31" s="3">
        <f>E31*_xlfn.XLOOKUP(D31,Products!$A$2:$A$11,Products!$E$2:$E$11)</f>
        <v>54</v>
      </c>
      <c r="O31" s="3">
        <f t="shared" si="0"/>
        <v>45</v>
      </c>
    </row>
    <row r="32" spans="1:15" x14ac:dyDescent="0.3">
      <c r="A32" t="s">
        <v>73</v>
      </c>
      <c r="B32" s="1">
        <v>45860</v>
      </c>
      <c r="C32" t="s">
        <v>74</v>
      </c>
      <c r="D32" t="s">
        <v>60</v>
      </c>
      <c r="E32">
        <v>4</v>
      </c>
      <c r="F32" s="2">
        <v>0.1</v>
      </c>
      <c r="G32" s="2" t="str">
        <f>_xlfn.XLOOKUP(D32,Products!$A$2:$A$11,Products!$B$2:$B$11)</f>
        <v>Water Bottle</v>
      </c>
      <c r="H32" s="2" t="str">
        <f>_xlfn.XLOOKUP(D32,Products!$A$2:$A$11,Products!$C$2:$C$11)</f>
        <v>Lifestyle</v>
      </c>
      <c r="I32" s="3">
        <f>_xlfn.XLOOKUP(D32,Products!$A$2:$A$11,Products!$D$2:$D$11)</f>
        <v>18</v>
      </c>
      <c r="J32" s="3" t="str">
        <f>_xlfn.XLOOKUP(C32,Customers!$A$2:$A$101,Customers!$B$2:$B$101)</f>
        <v>Customer 017</v>
      </c>
      <c r="K32" s="3" t="str">
        <f>_xlfn.XLOOKUP(C32,Customers!$A$2:$A$101,Customers!$C$2:$C$101)</f>
        <v>Leeds</v>
      </c>
      <c r="L32" s="3" t="str">
        <f>_xlfn.XLOOKUP(C32,Customers!$A$2:$A$101,Customers!$D$2:$D$101)</f>
        <v>Corporate</v>
      </c>
      <c r="M32" s="3">
        <f t="shared" si="1"/>
        <v>64.8</v>
      </c>
      <c r="N32" s="3">
        <f>E32*_xlfn.XLOOKUP(D32,Products!$A$2:$A$11,Products!$E$2:$E$11)</f>
        <v>28</v>
      </c>
      <c r="O32" s="3">
        <f t="shared" si="0"/>
        <v>36.799999999999997</v>
      </c>
    </row>
    <row r="33" spans="1:15" x14ac:dyDescent="0.3">
      <c r="A33" t="s">
        <v>75</v>
      </c>
      <c r="B33" s="1">
        <v>45695</v>
      </c>
      <c r="C33" t="s">
        <v>76</v>
      </c>
      <c r="D33" t="s">
        <v>33</v>
      </c>
      <c r="E33">
        <v>5</v>
      </c>
      <c r="F33" s="2">
        <v>0</v>
      </c>
      <c r="G33" s="2" t="str">
        <f>_xlfn.XLOOKUP(D33,Products!$A$2:$A$11,Products!$B$2:$B$11)</f>
        <v>Notebook Pack</v>
      </c>
      <c r="H33" s="2" t="str">
        <f>_xlfn.XLOOKUP(D33,Products!$A$2:$A$11,Products!$C$2:$C$11)</f>
        <v>Stationery</v>
      </c>
      <c r="I33" s="3">
        <f>_xlfn.XLOOKUP(D33,Products!$A$2:$A$11,Products!$D$2:$D$11)</f>
        <v>12</v>
      </c>
      <c r="J33" s="3" t="str">
        <f>_xlfn.XLOOKUP(C33,Customers!$A$2:$A$101,Customers!$B$2:$B$101)</f>
        <v>Customer 002</v>
      </c>
      <c r="K33" s="3" t="str">
        <f>_xlfn.XLOOKUP(C33,Customers!$A$2:$A$101,Customers!$C$2:$C$101)</f>
        <v>London</v>
      </c>
      <c r="L33" s="3" t="str">
        <f>_xlfn.XLOOKUP(C33,Customers!$A$2:$A$101,Customers!$D$2:$D$101)</f>
        <v>Corporate</v>
      </c>
      <c r="M33" s="3">
        <f t="shared" si="1"/>
        <v>60</v>
      </c>
      <c r="N33" s="3">
        <f>E33*_xlfn.XLOOKUP(D33,Products!$A$2:$A$11,Products!$E$2:$E$11)</f>
        <v>25</v>
      </c>
      <c r="O33" s="3">
        <f t="shared" si="0"/>
        <v>35</v>
      </c>
    </row>
    <row r="34" spans="1:15" x14ac:dyDescent="0.3">
      <c r="A34" t="s">
        <v>77</v>
      </c>
      <c r="B34" s="1">
        <v>45695</v>
      </c>
      <c r="C34" t="s">
        <v>78</v>
      </c>
      <c r="D34" t="s">
        <v>22</v>
      </c>
      <c r="E34">
        <v>5</v>
      </c>
      <c r="F34" s="2">
        <v>0.1</v>
      </c>
      <c r="G34" s="2" t="str">
        <f>_xlfn.XLOOKUP(D34,Products!$A$2:$A$11,Products!$B$2:$B$11)</f>
        <v>Desk Lamp</v>
      </c>
      <c r="H34" s="2" t="str">
        <f>_xlfn.XLOOKUP(D34,Products!$A$2:$A$11,Products!$C$2:$C$11)</f>
        <v>Office</v>
      </c>
      <c r="I34" s="3">
        <f>_xlfn.XLOOKUP(D34,Products!$A$2:$A$11,Products!$D$2:$D$11)</f>
        <v>30</v>
      </c>
      <c r="J34" s="3" t="str">
        <f>_xlfn.XLOOKUP(C34,Customers!$A$2:$A$101,Customers!$B$2:$B$101)</f>
        <v>Customer 069</v>
      </c>
      <c r="K34" s="3" t="str">
        <f>_xlfn.XLOOKUP(C34,Customers!$A$2:$A$101,Customers!$C$2:$C$101)</f>
        <v>Birmingham</v>
      </c>
      <c r="L34" s="3" t="str">
        <f>_xlfn.XLOOKUP(C34,Customers!$A$2:$A$101,Customers!$D$2:$D$101)</f>
        <v>Consumer</v>
      </c>
      <c r="M34" s="3">
        <f t="shared" si="1"/>
        <v>135</v>
      </c>
      <c r="N34" s="3">
        <f>E34*_xlfn.XLOOKUP(D34,Products!$A$2:$A$11,Products!$E$2:$E$11)</f>
        <v>75</v>
      </c>
      <c r="O34" s="3">
        <f t="shared" si="0"/>
        <v>60</v>
      </c>
    </row>
    <row r="35" spans="1:15" x14ac:dyDescent="0.3">
      <c r="A35" t="s">
        <v>79</v>
      </c>
      <c r="B35" s="1">
        <v>45725</v>
      </c>
      <c r="C35" t="s">
        <v>80</v>
      </c>
      <c r="D35" t="s">
        <v>30</v>
      </c>
      <c r="E35">
        <v>2</v>
      </c>
      <c r="F35" s="2">
        <v>0.1</v>
      </c>
      <c r="G35" s="2" t="str">
        <f>_xlfn.XLOOKUP(D35,Products!$A$2:$A$11,Products!$B$2:$B$11)</f>
        <v>Wireless Mouse</v>
      </c>
      <c r="H35" s="2" t="str">
        <f>_xlfn.XLOOKUP(D35,Products!$A$2:$A$11,Products!$C$2:$C$11)</f>
        <v>Electronics</v>
      </c>
      <c r="I35" s="3">
        <f>_xlfn.XLOOKUP(D35,Products!$A$2:$A$11,Products!$D$2:$D$11)</f>
        <v>25</v>
      </c>
      <c r="J35" s="3" t="str">
        <f>_xlfn.XLOOKUP(C35,Customers!$A$2:$A$101,Customers!$B$2:$B$101)</f>
        <v>Customer 045</v>
      </c>
      <c r="K35" s="3" t="str">
        <f>_xlfn.XLOOKUP(C35,Customers!$A$2:$A$101,Customers!$C$2:$C$101)</f>
        <v>Sheffield</v>
      </c>
      <c r="L35" s="3" t="str">
        <f>_xlfn.XLOOKUP(C35,Customers!$A$2:$A$101,Customers!$D$2:$D$101)</f>
        <v>Consumer</v>
      </c>
      <c r="M35" s="3">
        <f t="shared" si="1"/>
        <v>45</v>
      </c>
      <c r="N35" s="3">
        <f>E35*_xlfn.XLOOKUP(D35,Products!$A$2:$A$11,Products!$E$2:$E$11)</f>
        <v>24</v>
      </c>
      <c r="O35" s="3">
        <f t="shared" si="0"/>
        <v>21</v>
      </c>
    </row>
    <row r="36" spans="1:15" x14ac:dyDescent="0.3">
      <c r="A36" t="s">
        <v>81</v>
      </c>
      <c r="B36" s="1">
        <v>45803</v>
      </c>
      <c r="C36" t="s">
        <v>82</v>
      </c>
      <c r="D36" t="s">
        <v>33</v>
      </c>
      <c r="E36">
        <v>5</v>
      </c>
      <c r="F36" s="2">
        <v>0.1</v>
      </c>
      <c r="G36" s="2" t="str">
        <f>_xlfn.XLOOKUP(D36,Products!$A$2:$A$11,Products!$B$2:$B$11)</f>
        <v>Notebook Pack</v>
      </c>
      <c r="H36" s="2" t="str">
        <f>_xlfn.XLOOKUP(D36,Products!$A$2:$A$11,Products!$C$2:$C$11)</f>
        <v>Stationery</v>
      </c>
      <c r="I36" s="3">
        <f>_xlfn.XLOOKUP(D36,Products!$A$2:$A$11,Products!$D$2:$D$11)</f>
        <v>12</v>
      </c>
      <c r="J36" s="3" t="str">
        <f>_xlfn.XLOOKUP(C36,Customers!$A$2:$A$101,Customers!$B$2:$B$101)</f>
        <v>Customer 021</v>
      </c>
      <c r="K36" s="3" t="str">
        <f>_xlfn.XLOOKUP(C36,Customers!$A$2:$A$101,Customers!$C$2:$C$101)</f>
        <v>Birmingham</v>
      </c>
      <c r="L36" s="3" t="str">
        <f>_xlfn.XLOOKUP(C36,Customers!$A$2:$A$101,Customers!$D$2:$D$101)</f>
        <v>Consumer</v>
      </c>
      <c r="M36" s="3">
        <f t="shared" si="1"/>
        <v>54</v>
      </c>
      <c r="N36" s="3">
        <f>E36*_xlfn.XLOOKUP(D36,Products!$A$2:$A$11,Products!$E$2:$E$11)</f>
        <v>25</v>
      </c>
      <c r="O36" s="3">
        <f t="shared" si="0"/>
        <v>29</v>
      </c>
    </row>
    <row r="37" spans="1:15" x14ac:dyDescent="0.3">
      <c r="A37" t="s">
        <v>83</v>
      </c>
      <c r="B37" s="1">
        <v>45971</v>
      </c>
      <c r="C37" t="s">
        <v>41</v>
      </c>
      <c r="D37" t="s">
        <v>11</v>
      </c>
      <c r="E37">
        <v>1</v>
      </c>
      <c r="F37" s="2">
        <v>0.1</v>
      </c>
      <c r="G37" s="2" t="str">
        <f>_xlfn.XLOOKUP(D37,Products!$A$2:$A$11,Products!$B$2:$B$11)</f>
        <v>Office Chair</v>
      </c>
      <c r="H37" s="2" t="str">
        <f>_xlfn.XLOOKUP(D37,Products!$A$2:$A$11,Products!$C$2:$C$11)</f>
        <v>Office</v>
      </c>
      <c r="I37" s="3">
        <f>_xlfn.XLOOKUP(D37,Products!$A$2:$A$11,Products!$D$2:$D$11)</f>
        <v>180</v>
      </c>
      <c r="J37" s="3" t="str">
        <f>_xlfn.XLOOKUP(C37,Customers!$A$2:$A$101,Customers!$B$2:$B$101)</f>
        <v>Customer 084</v>
      </c>
      <c r="K37" s="3" t="str">
        <f>_xlfn.XLOOKUP(C37,Customers!$A$2:$A$101,Customers!$C$2:$C$101)</f>
        <v>Birmingham</v>
      </c>
      <c r="L37" s="3" t="str">
        <f>_xlfn.XLOOKUP(C37,Customers!$A$2:$A$101,Customers!$D$2:$D$101)</f>
        <v>Consumer</v>
      </c>
      <c r="M37" s="3">
        <f t="shared" si="1"/>
        <v>162</v>
      </c>
      <c r="N37" s="3">
        <f>E37*_xlfn.XLOOKUP(D37,Products!$A$2:$A$11,Products!$E$2:$E$11)</f>
        <v>105</v>
      </c>
      <c r="O37" s="3">
        <f t="shared" si="0"/>
        <v>57</v>
      </c>
    </row>
    <row r="38" spans="1:15" x14ac:dyDescent="0.3">
      <c r="A38" t="s">
        <v>84</v>
      </c>
      <c r="B38" s="1">
        <v>45997</v>
      </c>
      <c r="C38" t="s">
        <v>43</v>
      </c>
      <c r="D38" t="s">
        <v>46</v>
      </c>
      <c r="E38">
        <v>3</v>
      </c>
      <c r="F38" s="2">
        <v>0</v>
      </c>
      <c r="G38" s="2" t="str">
        <f>_xlfn.XLOOKUP(D38,Products!$A$2:$A$11,Products!$B$2:$B$11)</f>
        <v>Keyboard</v>
      </c>
      <c r="H38" s="2" t="str">
        <f>_xlfn.XLOOKUP(D38,Products!$A$2:$A$11,Products!$C$2:$C$11)</f>
        <v>Electronics</v>
      </c>
      <c r="I38" s="3">
        <f>_xlfn.XLOOKUP(D38,Products!$A$2:$A$11,Products!$D$2:$D$11)</f>
        <v>45</v>
      </c>
      <c r="J38" s="3" t="str">
        <f>_xlfn.XLOOKUP(C38,Customers!$A$2:$A$101,Customers!$B$2:$B$101)</f>
        <v>Customer 014</v>
      </c>
      <c r="K38" s="3" t="str">
        <f>_xlfn.XLOOKUP(C38,Customers!$A$2:$A$101,Customers!$C$2:$C$101)</f>
        <v>Sheffield</v>
      </c>
      <c r="L38" s="3" t="str">
        <f>_xlfn.XLOOKUP(C38,Customers!$A$2:$A$101,Customers!$D$2:$D$101)</f>
        <v>Corporate</v>
      </c>
      <c r="M38" s="3">
        <f t="shared" si="1"/>
        <v>135</v>
      </c>
      <c r="N38" s="3">
        <f>E38*_xlfn.XLOOKUP(D38,Products!$A$2:$A$11,Products!$E$2:$E$11)</f>
        <v>66</v>
      </c>
      <c r="O38" s="3">
        <f t="shared" si="0"/>
        <v>69</v>
      </c>
    </row>
    <row r="39" spans="1:15" x14ac:dyDescent="0.3">
      <c r="A39" t="s">
        <v>85</v>
      </c>
      <c r="B39" s="1">
        <v>45712</v>
      </c>
      <c r="C39" t="s">
        <v>86</v>
      </c>
      <c r="D39" t="s">
        <v>11</v>
      </c>
      <c r="E39">
        <v>2</v>
      </c>
      <c r="F39" s="2">
        <v>0.1</v>
      </c>
      <c r="G39" s="2" t="str">
        <f>_xlfn.XLOOKUP(D39,Products!$A$2:$A$11,Products!$B$2:$B$11)</f>
        <v>Office Chair</v>
      </c>
      <c r="H39" s="2" t="str">
        <f>_xlfn.XLOOKUP(D39,Products!$A$2:$A$11,Products!$C$2:$C$11)</f>
        <v>Office</v>
      </c>
      <c r="I39" s="3">
        <f>_xlfn.XLOOKUP(D39,Products!$A$2:$A$11,Products!$D$2:$D$11)</f>
        <v>180</v>
      </c>
      <c r="J39" s="3" t="str">
        <f>_xlfn.XLOOKUP(C39,Customers!$A$2:$A$101,Customers!$B$2:$B$101)</f>
        <v>Customer 096</v>
      </c>
      <c r="K39" s="3" t="str">
        <f>_xlfn.XLOOKUP(C39,Customers!$A$2:$A$101,Customers!$C$2:$C$101)</f>
        <v>Bristol</v>
      </c>
      <c r="L39" s="3" t="str">
        <f>_xlfn.XLOOKUP(C39,Customers!$A$2:$A$101,Customers!$D$2:$D$101)</f>
        <v>Consumer</v>
      </c>
      <c r="M39" s="3">
        <f t="shared" si="1"/>
        <v>324</v>
      </c>
      <c r="N39" s="3">
        <f>E39*_xlfn.XLOOKUP(D39,Products!$A$2:$A$11,Products!$E$2:$E$11)</f>
        <v>210</v>
      </c>
      <c r="O39" s="3">
        <f t="shared" si="0"/>
        <v>114</v>
      </c>
    </row>
    <row r="40" spans="1:15" x14ac:dyDescent="0.3">
      <c r="A40" t="s">
        <v>87</v>
      </c>
      <c r="B40" s="1">
        <v>45802</v>
      </c>
      <c r="C40" t="s">
        <v>15</v>
      </c>
      <c r="D40" t="s">
        <v>22</v>
      </c>
      <c r="E40">
        <v>3</v>
      </c>
      <c r="F40" s="2">
        <v>0.05</v>
      </c>
      <c r="G40" s="2" t="str">
        <f>_xlfn.XLOOKUP(D40,Products!$A$2:$A$11,Products!$B$2:$B$11)</f>
        <v>Desk Lamp</v>
      </c>
      <c r="H40" s="2" t="str">
        <f>_xlfn.XLOOKUP(D40,Products!$A$2:$A$11,Products!$C$2:$C$11)</f>
        <v>Office</v>
      </c>
      <c r="I40" s="3">
        <f>_xlfn.XLOOKUP(D40,Products!$A$2:$A$11,Products!$D$2:$D$11)</f>
        <v>30</v>
      </c>
      <c r="J40" s="3" t="str">
        <f>_xlfn.XLOOKUP(C40,Customers!$A$2:$A$101,Customers!$B$2:$B$101)</f>
        <v>Customer 078</v>
      </c>
      <c r="K40" s="3" t="str">
        <f>_xlfn.XLOOKUP(C40,Customers!$A$2:$A$101,Customers!$C$2:$C$101)</f>
        <v>Leeds</v>
      </c>
      <c r="L40" s="3" t="str">
        <f>_xlfn.XLOOKUP(C40,Customers!$A$2:$A$101,Customers!$D$2:$D$101)</f>
        <v>Corporate</v>
      </c>
      <c r="M40" s="3">
        <f t="shared" si="1"/>
        <v>85.5</v>
      </c>
      <c r="N40" s="3">
        <f>E40*_xlfn.XLOOKUP(D40,Products!$A$2:$A$11,Products!$E$2:$E$11)</f>
        <v>45</v>
      </c>
      <c r="O40" s="3">
        <f t="shared" si="0"/>
        <v>40.5</v>
      </c>
    </row>
    <row r="41" spans="1:15" x14ac:dyDescent="0.3">
      <c r="A41" t="s">
        <v>88</v>
      </c>
      <c r="B41" s="1">
        <v>46009</v>
      </c>
      <c r="C41" t="s">
        <v>89</v>
      </c>
      <c r="D41" t="s">
        <v>60</v>
      </c>
      <c r="E41">
        <v>5</v>
      </c>
      <c r="F41" s="2">
        <v>0.15</v>
      </c>
      <c r="G41" s="2" t="str">
        <f>_xlfn.XLOOKUP(D41,Products!$A$2:$A$11,Products!$B$2:$B$11)</f>
        <v>Water Bottle</v>
      </c>
      <c r="H41" s="2" t="str">
        <f>_xlfn.XLOOKUP(D41,Products!$A$2:$A$11,Products!$C$2:$C$11)</f>
        <v>Lifestyle</v>
      </c>
      <c r="I41" s="3">
        <f>_xlfn.XLOOKUP(D41,Products!$A$2:$A$11,Products!$D$2:$D$11)</f>
        <v>18</v>
      </c>
      <c r="J41" s="3" t="str">
        <f>_xlfn.XLOOKUP(C41,Customers!$A$2:$A$101,Customers!$B$2:$B$101)</f>
        <v>Customer 082</v>
      </c>
      <c r="K41" s="3" t="str">
        <f>_xlfn.XLOOKUP(C41,Customers!$A$2:$A$101,Customers!$C$2:$C$101)</f>
        <v>Sheffield</v>
      </c>
      <c r="L41" s="3" t="str">
        <f>_xlfn.XLOOKUP(C41,Customers!$A$2:$A$101,Customers!$D$2:$D$101)</f>
        <v>Corporate</v>
      </c>
      <c r="M41" s="3">
        <f t="shared" si="1"/>
        <v>76.5</v>
      </c>
      <c r="N41" s="3">
        <f>E41*_xlfn.XLOOKUP(D41,Products!$A$2:$A$11,Products!$E$2:$E$11)</f>
        <v>35</v>
      </c>
      <c r="O41" s="3">
        <f t="shared" si="0"/>
        <v>41.5</v>
      </c>
    </row>
    <row r="42" spans="1:15" x14ac:dyDescent="0.3">
      <c r="A42" t="s">
        <v>90</v>
      </c>
      <c r="B42" s="1">
        <v>45786</v>
      </c>
      <c r="C42" t="s">
        <v>64</v>
      </c>
      <c r="D42" t="s">
        <v>30</v>
      </c>
      <c r="E42">
        <v>4</v>
      </c>
      <c r="F42" s="2">
        <v>0.1</v>
      </c>
      <c r="G42" s="2" t="str">
        <f>_xlfn.XLOOKUP(D42,Products!$A$2:$A$11,Products!$B$2:$B$11)</f>
        <v>Wireless Mouse</v>
      </c>
      <c r="H42" s="2" t="str">
        <f>_xlfn.XLOOKUP(D42,Products!$A$2:$A$11,Products!$C$2:$C$11)</f>
        <v>Electronics</v>
      </c>
      <c r="I42" s="3">
        <f>_xlfn.XLOOKUP(D42,Products!$A$2:$A$11,Products!$D$2:$D$11)</f>
        <v>25</v>
      </c>
      <c r="J42" s="3" t="str">
        <f>_xlfn.XLOOKUP(C42,Customers!$A$2:$A$101,Customers!$B$2:$B$101)</f>
        <v>Customer 007</v>
      </c>
      <c r="K42" s="3" t="str">
        <f>_xlfn.XLOOKUP(C42,Customers!$A$2:$A$101,Customers!$C$2:$C$101)</f>
        <v>Bristol</v>
      </c>
      <c r="L42" s="3" t="str">
        <f>_xlfn.XLOOKUP(C42,Customers!$A$2:$A$101,Customers!$D$2:$D$101)</f>
        <v>Consumer</v>
      </c>
      <c r="M42" s="3">
        <f t="shared" si="1"/>
        <v>90</v>
      </c>
      <c r="N42" s="3">
        <f>E42*_xlfn.XLOOKUP(D42,Products!$A$2:$A$11,Products!$E$2:$E$11)</f>
        <v>48</v>
      </c>
      <c r="O42" s="3">
        <f t="shared" si="0"/>
        <v>42</v>
      </c>
    </row>
    <row r="43" spans="1:15" x14ac:dyDescent="0.3">
      <c r="A43" t="s">
        <v>91</v>
      </c>
      <c r="B43" s="1">
        <v>45680</v>
      </c>
      <c r="C43" t="s">
        <v>92</v>
      </c>
      <c r="D43" t="s">
        <v>19</v>
      </c>
      <c r="E43">
        <v>2</v>
      </c>
      <c r="F43" s="2">
        <v>0.1</v>
      </c>
      <c r="G43" s="2" t="str">
        <f>_xlfn.XLOOKUP(D43,Products!$A$2:$A$11,Products!$B$2:$B$11)</f>
        <v>Backpack</v>
      </c>
      <c r="H43" s="2" t="str">
        <f>_xlfn.XLOOKUP(D43,Products!$A$2:$A$11,Products!$C$2:$C$11)</f>
        <v>Lifestyle</v>
      </c>
      <c r="I43" s="3">
        <f>_xlfn.XLOOKUP(D43,Products!$A$2:$A$11,Products!$D$2:$D$11)</f>
        <v>55</v>
      </c>
      <c r="J43" s="3" t="str">
        <f>_xlfn.XLOOKUP(C43,Customers!$A$2:$A$101,Customers!$B$2:$B$101)</f>
        <v>Customer 001</v>
      </c>
      <c r="K43" s="3" t="str">
        <f>_xlfn.XLOOKUP(C43,Customers!$A$2:$A$101,Customers!$C$2:$C$101)</f>
        <v>Sheffield</v>
      </c>
      <c r="L43" s="3" t="str">
        <f>_xlfn.XLOOKUP(C43,Customers!$A$2:$A$101,Customers!$D$2:$D$101)</f>
        <v>Consumer</v>
      </c>
      <c r="M43" s="3">
        <f t="shared" si="1"/>
        <v>99</v>
      </c>
      <c r="N43" s="3">
        <f>E43*_xlfn.XLOOKUP(D43,Products!$A$2:$A$11,Products!$E$2:$E$11)</f>
        <v>54</v>
      </c>
      <c r="O43" s="3">
        <f t="shared" si="0"/>
        <v>45</v>
      </c>
    </row>
    <row r="44" spans="1:15" x14ac:dyDescent="0.3">
      <c r="A44" t="s">
        <v>93</v>
      </c>
      <c r="B44" s="1">
        <v>45740</v>
      </c>
      <c r="C44" t="s">
        <v>62</v>
      </c>
      <c r="D44" t="s">
        <v>33</v>
      </c>
      <c r="E44">
        <v>5</v>
      </c>
      <c r="F44" s="2">
        <v>0.15</v>
      </c>
      <c r="G44" s="2" t="str">
        <f>_xlfn.XLOOKUP(D44,Products!$A$2:$A$11,Products!$B$2:$B$11)</f>
        <v>Notebook Pack</v>
      </c>
      <c r="H44" s="2" t="str">
        <f>_xlfn.XLOOKUP(D44,Products!$A$2:$A$11,Products!$C$2:$C$11)</f>
        <v>Stationery</v>
      </c>
      <c r="I44" s="3">
        <f>_xlfn.XLOOKUP(D44,Products!$A$2:$A$11,Products!$D$2:$D$11)</f>
        <v>12</v>
      </c>
      <c r="J44" s="3" t="str">
        <f>_xlfn.XLOOKUP(C44,Customers!$A$2:$A$101,Customers!$B$2:$B$101)</f>
        <v>Customer 095</v>
      </c>
      <c r="K44" s="3" t="str">
        <f>_xlfn.XLOOKUP(C44,Customers!$A$2:$A$101,Customers!$C$2:$C$101)</f>
        <v>Manchester</v>
      </c>
      <c r="L44" s="3" t="str">
        <f>_xlfn.XLOOKUP(C44,Customers!$A$2:$A$101,Customers!$D$2:$D$101)</f>
        <v>Corporate</v>
      </c>
      <c r="M44" s="3">
        <f t="shared" si="1"/>
        <v>51</v>
      </c>
      <c r="N44" s="3">
        <f>E44*_xlfn.XLOOKUP(D44,Products!$A$2:$A$11,Products!$E$2:$E$11)</f>
        <v>25</v>
      </c>
      <c r="O44" s="3">
        <f t="shared" si="0"/>
        <v>26</v>
      </c>
    </row>
    <row r="45" spans="1:15" x14ac:dyDescent="0.3">
      <c r="A45" t="s">
        <v>94</v>
      </c>
      <c r="B45" s="1">
        <v>45945</v>
      </c>
      <c r="C45" t="s">
        <v>76</v>
      </c>
      <c r="D45" t="s">
        <v>30</v>
      </c>
      <c r="E45">
        <v>1</v>
      </c>
      <c r="F45" s="2">
        <v>0.05</v>
      </c>
      <c r="G45" s="2" t="str">
        <f>_xlfn.XLOOKUP(D45,Products!$A$2:$A$11,Products!$B$2:$B$11)</f>
        <v>Wireless Mouse</v>
      </c>
      <c r="H45" s="2" t="str">
        <f>_xlfn.XLOOKUP(D45,Products!$A$2:$A$11,Products!$C$2:$C$11)</f>
        <v>Electronics</v>
      </c>
      <c r="I45" s="3">
        <f>_xlfn.XLOOKUP(D45,Products!$A$2:$A$11,Products!$D$2:$D$11)</f>
        <v>25</v>
      </c>
      <c r="J45" s="3" t="str">
        <f>_xlfn.XLOOKUP(C45,Customers!$A$2:$A$101,Customers!$B$2:$B$101)</f>
        <v>Customer 002</v>
      </c>
      <c r="K45" s="3" t="str">
        <f>_xlfn.XLOOKUP(C45,Customers!$A$2:$A$101,Customers!$C$2:$C$101)</f>
        <v>London</v>
      </c>
      <c r="L45" s="3" t="str">
        <f>_xlfn.XLOOKUP(C45,Customers!$A$2:$A$101,Customers!$D$2:$D$101)</f>
        <v>Corporate</v>
      </c>
      <c r="M45" s="3">
        <f t="shared" si="1"/>
        <v>23.75</v>
      </c>
      <c r="N45" s="3">
        <f>E45*_xlfn.XLOOKUP(D45,Products!$A$2:$A$11,Products!$E$2:$E$11)</f>
        <v>12</v>
      </c>
      <c r="O45" s="3">
        <f t="shared" si="0"/>
        <v>11.75</v>
      </c>
    </row>
    <row r="46" spans="1:15" x14ac:dyDescent="0.3">
      <c r="A46" t="s">
        <v>95</v>
      </c>
      <c r="B46" s="1">
        <v>45937</v>
      </c>
      <c r="C46" t="s">
        <v>96</v>
      </c>
      <c r="D46" t="s">
        <v>19</v>
      </c>
      <c r="E46">
        <v>5</v>
      </c>
      <c r="F46" s="2">
        <v>0.05</v>
      </c>
      <c r="G46" s="2" t="str">
        <f>_xlfn.XLOOKUP(D46,Products!$A$2:$A$11,Products!$B$2:$B$11)</f>
        <v>Backpack</v>
      </c>
      <c r="H46" s="2" t="str">
        <f>_xlfn.XLOOKUP(D46,Products!$A$2:$A$11,Products!$C$2:$C$11)</f>
        <v>Lifestyle</v>
      </c>
      <c r="I46" s="3">
        <f>_xlfn.XLOOKUP(D46,Products!$A$2:$A$11,Products!$D$2:$D$11)</f>
        <v>55</v>
      </c>
      <c r="J46" s="3" t="str">
        <f>_xlfn.XLOOKUP(C46,Customers!$A$2:$A$101,Customers!$B$2:$B$101)</f>
        <v>Customer 005</v>
      </c>
      <c r="K46" s="3" t="str">
        <f>_xlfn.XLOOKUP(C46,Customers!$A$2:$A$101,Customers!$C$2:$C$101)</f>
        <v>Sheffield</v>
      </c>
      <c r="L46" s="3" t="str">
        <f>_xlfn.XLOOKUP(C46,Customers!$A$2:$A$101,Customers!$D$2:$D$101)</f>
        <v>Consumer</v>
      </c>
      <c r="M46" s="3">
        <f t="shared" si="1"/>
        <v>261.25</v>
      </c>
      <c r="N46" s="3">
        <f>E46*_xlfn.XLOOKUP(D46,Products!$A$2:$A$11,Products!$E$2:$E$11)</f>
        <v>135</v>
      </c>
      <c r="O46" s="3">
        <f t="shared" si="0"/>
        <v>126.25</v>
      </c>
    </row>
    <row r="47" spans="1:15" x14ac:dyDescent="0.3">
      <c r="A47" t="s">
        <v>97</v>
      </c>
      <c r="B47" s="1">
        <v>45878</v>
      </c>
      <c r="C47" t="s">
        <v>74</v>
      </c>
      <c r="D47" t="s">
        <v>27</v>
      </c>
      <c r="E47">
        <v>3</v>
      </c>
      <c r="F47" s="2">
        <v>0.1</v>
      </c>
      <c r="G47" s="2" t="str">
        <f>_xlfn.XLOOKUP(D47,Products!$A$2:$A$11,Products!$B$2:$B$11)</f>
        <v>Laptop Stand</v>
      </c>
      <c r="H47" s="2" t="str">
        <f>_xlfn.XLOOKUP(D47,Products!$A$2:$A$11,Products!$C$2:$C$11)</f>
        <v>Office</v>
      </c>
      <c r="I47" s="3">
        <f>_xlfn.XLOOKUP(D47,Products!$A$2:$A$11,Products!$D$2:$D$11)</f>
        <v>35</v>
      </c>
      <c r="J47" s="3" t="str">
        <f>_xlfn.XLOOKUP(C47,Customers!$A$2:$A$101,Customers!$B$2:$B$101)</f>
        <v>Customer 017</v>
      </c>
      <c r="K47" s="3" t="str">
        <f>_xlfn.XLOOKUP(C47,Customers!$A$2:$A$101,Customers!$C$2:$C$101)</f>
        <v>Leeds</v>
      </c>
      <c r="L47" s="3" t="str">
        <f>_xlfn.XLOOKUP(C47,Customers!$A$2:$A$101,Customers!$D$2:$D$101)</f>
        <v>Corporate</v>
      </c>
      <c r="M47" s="3">
        <f t="shared" si="1"/>
        <v>94.5</v>
      </c>
      <c r="N47" s="3">
        <f>E47*_xlfn.XLOOKUP(D47,Products!$A$2:$A$11,Products!$E$2:$E$11)</f>
        <v>60</v>
      </c>
      <c r="O47" s="3">
        <f t="shared" si="0"/>
        <v>34.5</v>
      </c>
    </row>
    <row r="48" spans="1:15" x14ac:dyDescent="0.3">
      <c r="A48" t="s">
        <v>98</v>
      </c>
      <c r="B48" s="1">
        <v>45678</v>
      </c>
      <c r="C48" t="s">
        <v>99</v>
      </c>
      <c r="D48" t="s">
        <v>22</v>
      </c>
      <c r="E48">
        <v>2</v>
      </c>
      <c r="F48" s="2">
        <v>0</v>
      </c>
      <c r="G48" s="2" t="str">
        <f>_xlfn.XLOOKUP(D48,Products!$A$2:$A$11,Products!$B$2:$B$11)</f>
        <v>Desk Lamp</v>
      </c>
      <c r="H48" s="2" t="str">
        <f>_xlfn.XLOOKUP(D48,Products!$A$2:$A$11,Products!$C$2:$C$11)</f>
        <v>Office</v>
      </c>
      <c r="I48" s="3">
        <f>_xlfn.XLOOKUP(D48,Products!$A$2:$A$11,Products!$D$2:$D$11)</f>
        <v>30</v>
      </c>
      <c r="J48" s="3" t="str">
        <f>_xlfn.XLOOKUP(C48,Customers!$A$2:$A$101,Customers!$B$2:$B$101)</f>
        <v>Customer 046</v>
      </c>
      <c r="K48" s="3" t="str">
        <f>_xlfn.XLOOKUP(C48,Customers!$A$2:$A$101,Customers!$C$2:$C$101)</f>
        <v>Bristol</v>
      </c>
      <c r="L48" s="3" t="str">
        <f>_xlfn.XLOOKUP(C48,Customers!$A$2:$A$101,Customers!$D$2:$D$101)</f>
        <v>Corporate</v>
      </c>
      <c r="M48" s="3">
        <f t="shared" si="1"/>
        <v>60</v>
      </c>
      <c r="N48" s="3">
        <f>E48*_xlfn.XLOOKUP(D48,Products!$A$2:$A$11,Products!$E$2:$E$11)</f>
        <v>30</v>
      </c>
      <c r="O48" s="3">
        <f t="shared" si="0"/>
        <v>30</v>
      </c>
    </row>
    <row r="49" spans="1:15" x14ac:dyDescent="0.3">
      <c r="A49" t="s">
        <v>100</v>
      </c>
      <c r="B49" s="1">
        <v>45839</v>
      </c>
      <c r="C49" t="s">
        <v>101</v>
      </c>
      <c r="D49" t="s">
        <v>11</v>
      </c>
      <c r="E49">
        <v>4</v>
      </c>
      <c r="F49" s="2">
        <v>0.05</v>
      </c>
      <c r="G49" s="2" t="str">
        <f>_xlfn.XLOOKUP(D49,Products!$A$2:$A$11,Products!$B$2:$B$11)</f>
        <v>Office Chair</v>
      </c>
      <c r="H49" s="2" t="str">
        <f>_xlfn.XLOOKUP(D49,Products!$A$2:$A$11,Products!$C$2:$C$11)</f>
        <v>Office</v>
      </c>
      <c r="I49" s="3">
        <f>_xlfn.XLOOKUP(D49,Products!$A$2:$A$11,Products!$D$2:$D$11)</f>
        <v>180</v>
      </c>
      <c r="J49" s="3" t="str">
        <f>_xlfn.XLOOKUP(C49,Customers!$A$2:$A$101,Customers!$B$2:$B$101)</f>
        <v>Customer 100</v>
      </c>
      <c r="K49" s="3" t="str">
        <f>_xlfn.XLOOKUP(C49,Customers!$A$2:$A$101,Customers!$C$2:$C$101)</f>
        <v>Birmingham</v>
      </c>
      <c r="L49" s="3" t="str">
        <f>_xlfn.XLOOKUP(C49,Customers!$A$2:$A$101,Customers!$D$2:$D$101)</f>
        <v>Consumer</v>
      </c>
      <c r="M49" s="3">
        <f t="shared" si="1"/>
        <v>684</v>
      </c>
      <c r="N49" s="3">
        <f>E49*_xlfn.XLOOKUP(D49,Products!$A$2:$A$11,Products!$E$2:$E$11)</f>
        <v>420</v>
      </c>
      <c r="O49" s="3">
        <f t="shared" si="0"/>
        <v>264</v>
      </c>
    </row>
    <row r="50" spans="1:15" x14ac:dyDescent="0.3">
      <c r="A50" t="s">
        <v>102</v>
      </c>
      <c r="B50" s="1">
        <v>45779</v>
      </c>
      <c r="C50" t="s">
        <v>82</v>
      </c>
      <c r="D50" t="s">
        <v>46</v>
      </c>
      <c r="E50">
        <v>4</v>
      </c>
      <c r="F50" s="2">
        <v>0</v>
      </c>
      <c r="G50" s="2" t="str">
        <f>_xlfn.XLOOKUP(D50,Products!$A$2:$A$11,Products!$B$2:$B$11)</f>
        <v>Keyboard</v>
      </c>
      <c r="H50" s="2" t="str">
        <f>_xlfn.XLOOKUP(D50,Products!$A$2:$A$11,Products!$C$2:$C$11)</f>
        <v>Electronics</v>
      </c>
      <c r="I50" s="3">
        <f>_xlfn.XLOOKUP(D50,Products!$A$2:$A$11,Products!$D$2:$D$11)</f>
        <v>45</v>
      </c>
      <c r="J50" s="3" t="str">
        <f>_xlfn.XLOOKUP(C50,Customers!$A$2:$A$101,Customers!$B$2:$B$101)</f>
        <v>Customer 021</v>
      </c>
      <c r="K50" s="3" t="str">
        <f>_xlfn.XLOOKUP(C50,Customers!$A$2:$A$101,Customers!$C$2:$C$101)</f>
        <v>Birmingham</v>
      </c>
      <c r="L50" s="3" t="str">
        <f>_xlfn.XLOOKUP(C50,Customers!$A$2:$A$101,Customers!$D$2:$D$101)</f>
        <v>Consumer</v>
      </c>
      <c r="M50" s="3">
        <f t="shared" si="1"/>
        <v>180</v>
      </c>
      <c r="N50" s="3">
        <f>E50*_xlfn.XLOOKUP(D50,Products!$A$2:$A$11,Products!$E$2:$E$11)</f>
        <v>88</v>
      </c>
      <c r="O50" s="3">
        <f t="shared" si="0"/>
        <v>92</v>
      </c>
    </row>
    <row r="51" spans="1:15" x14ac:dyDescent="0.3">
      <c r="A51" t="s">
        <v>103</v>
      </c>
      <c r="B51" s="1">
        <v>45749</v>
      </c>
      <c r="C51" t="s">
        <v>62</v>
      </c>
      <c r="D51" t="s">
        <v>19</v>
      </c>
      <c r="E51">
        <v>4</v>
      </c>
      <c r="F51" s="2">
        <v>0.05</v>
      </c>
      <c r="G51" s="2" t="str">
        <f>_xlfn.XLOOKUP(D51,Products!$A$2:$A$11,Products!$B$2:$B$11)</f>
        <v>Backpack</v>
      </c>
      <c r="H51" s="2" t="str">
        <f>_xlfn.XLOOKUP(D51,Products!$A$2:$A$11,Products!$C$2:$C$11)</f>
        <v>Lifestyle</v>
      </c>
      <c r="I51" s="3">
        <f>_xlfn.XLOOKUP(D51,Products!$A$2:$A$11,Products!$D$2:$D$11)</f>
        <v>55</v>
      </c>
      <c r="J51" s="3" t="str">
        <f>_xlfn.XLOOKUP(C51,Customers!$A$2:$A$101,Customers!$B$2:$B$101)</f>
        <v>Customer 095</v>
      </c>
      <c r="K51" s="3" t="str">
        <f>_xlfn.XLOOKUP(C51,Customers!$A$2:$A$101,Customers!$C$2:$C$101)</f>
        <v>Manchester</v>
      </c>
      <c r="L51" s="3" t="str">
        <f>_xlfn.XLOOKUP(C51,Customers!$A$2:$A$101,Customers!$D$2:$D$101)</f>
        <v>Corporate</v>
      </c>
      <c r="M51" s="3">
        <f t="shared" si="1"/>
        <v>209</v>
      </c>
      <c r="N51" s="3">
        <f>E51*_xlfn.XLOOKUP(D51,Products!$A$2:$A$11,Products!$E$2:$E$11)</f>
        <v>108</v>
      </c>
      <c r="O51" s="3">
        <f t="shared" si="0"/>
        <v>101</v>
      </c>
    </row>
    <row r="52" spans="1:15" x14ac:dyDescent="0.3">
      <c r="A52" t="s">
        <v>104</v>
      </c>
      <c r="B52" s="1">
        <v>45794</v>
      </c>
      <c r="C52" t="s">
        <v>82</v>
      </c>
      <c r="D52" t="s">
        <v>30</v>
      </c>
      <c r="E52">
        <v>4</v>
      </c>
      <c r="F52" s="2">
        <v>0</v>
      </c>
      <c r="G52" s="2" t="str">
        <f>_xlfn.XLOOKUP(D52,Products!$A$2:$A$11,Products!$B$2:$B$11)</f>
        <v>Wireless Mouse</v>
      </c>
      <c r="H52" s="2" t="str">
        <f>_xlfn.XLOOKUP(D52,Products!$A$2:$A$11,Products!$C$2:$C$11)</f>
        <v>Electronics</v>
      </c>
      <c r="I52" s="3">
        <f>_xlfn.XLOOKUP(D52,Products!$A$2:$A$11,Products!$D$2:$D$11)</f>
        <v>25</v>
      </c>
      <c r="J52" s="3" t="str">
        <f>_xlfn.XLOOKUP(C52,Customers!$A$2:$A$101,Customers!$B$2:$B$101)</f>
        <v>Customer 021</v>
      </c>
      <c r="K52" s="3" t="str">
        <f>_xlfn.XLOOKUP(C52,Customers!$A$2:$A$101,Customers!$C$2:$C$101)</f>
        <v>Birmingham</v>
      </c>
      <c r="L52" s="3" t="str">
        <f>_xlfn.XLOOKUP(C52,Customers!$A$2:$A$101,Customers!$D$2:$D$101)</f>
        <v>Consumer</v>
      </c>
      <c r="M52" s="3">
        <f t="shared" si="1"/>
        <v>100</v>
      </c>
      <c r="N52" s="3">
        <f>E52*_xlfn.XLOOKUP(D52,Products!$A$2:$A$11,Products!$E$2:$E$11)</f>
        <v>48</v>
      </c>
      <c r="O52" s="3">
        <f t="shared" si="0"/>
        <v>52</v>
      </c>
    </row>
    <row r="53" spans="1:15" x14ac:dyDescent="0.3">
      <c r="A53" t="s">
        <v>105</v>
      </c>
      <c r="B53" s="1">
        <v>45898</v>
      </c>
      <c r="C53" t="s">
        <v>106</v>
      </c>
      <c r="D53" t="s">
        <v>22</v>
      </c>
      <c r="E53">
        <v>4</v>
      </c>
      <c r="F53" s="2">
        <v>0.1</v>
      </c>
      <c r="G53" s="2" t="str">
        <f>_xlfn.XLOOKUP(D53,Products!$A$2:$A$11,Products!$B$2:$B$11)</f>
        <v>Desk Lamp</v>
      </c>
      <c r="H53" s="2" t="str">
        <f>_xlfn.XLOOKUP(D53,Products!$A$2:$A$11,Products!$C$2:$C$11)</f>
        <v>Office</v>
      </c>
      <c r="I53" s="3">
        <f>_xlfn.XLOOKUP(D53,Products!$A$2:$A$11,Products!$D$2:$D$11)</f>
        <v>30</v>
      </c>
      <c r="J53" s="3" t="str">
        <f>_xlfn.XLOOKUP(C53,Customers!$A$2:$A$101,Customers!$B$2:$B$101)</f>
        <v>Customer 029</v>
      </c>
      <c r="K53" s="3" t="str">
        <f>_xlfn.XLOOKUP(C53,Customers!$A$2:$A$101,Customers!$C$2:$C$101)</f>
        <v>London</v>
      </c>
      <c r="L53" s="3" t="str">
        <f>_xlfn.XLOOKUP(C53,Customers!$A$2:$A$101,Customers!$D$2:$D$101)</f>
        <v>Small Business</v>
      </c>
      <c r="M53" s="3">
        <f t="shared" si="1"/>
        <v>108</v>
      </c>
      <c r="N53" s="3">
        <f>E53*_xlfn.XLOOKUP(D53,Products!$A$2:$A$11,Products!$E$2:$E$11)</f>
        <v>60</v>
      </c>
      <c r="O53" s="3">
        <f t="shared" si="0"/>
        <v>48</v>
      </c>
    </row>
    <row r="54" spans="1:15" x14ac:dyDescent="0.3">
      <c r="A54" t="s">
        <v>107</v>
      </c>
      <c r="B54" s="1">
        <v>45814</v>
      </c>
      <c r="C54" t="s">
        <v>108</v>
      </c>
      <c r="D54" t="s">
        <v>22</v>
      </c>
      <c r="E54">
        <v>1</v>
      </c>
      <c r="F54" s="2">
        <v>0.05</v>
      </c>
      <c r="G54" s="2" t="str">
        <f>_xlfn.XLOOKUP(D54,Products!$A$2:$A$11,Products!$B$2:$B$11)</f>
        <v>Desk Lamp</v>
      </c>
      <c r="H54" s="2" t="str">
        <f>_xlfn.XLOOKUP(D54,Products!$A$2:$A$11,Products!$C$2:$C$11)</f>
        <v>Office</v>
      </c>
      <c r="I54" s="3">
        <f>_xlfn.XLOOKUP(D54,Products!$A$2:$A$11,Products!$D$2:$D$11)</f>
        <v>30</v>
      </c>
      <c r="J54" s="3" t="str">
        <f>_xlfn.XLOOKUP(C54,Customers!$A$2:$A$101,Customers!$B$2:$B$101)</f>
        <v>Customer 030</v>
      </c>
      <c r="K54" s="3" t="str">
        <f>_xlfn.XLOOKUP(C54,Customers!$A$2:$A$101,Customers!$C$2:$C$101)</f>
        <v>London</v>
      </c>
      <c r="L54" s="3" t="str">
        <f>_xlfn.XLOOKUP(C54,Customers!$A$2:$A$101,Customers!$D$2:$D$101)</f>
        <v>Corporate</v>
      </c>
      <c r="M54" s="3">
        <f t="shared" si="1"/>
        <v>28.5</v>
      </c>
      <c r="N54" s="3">
        <f>E54*_xlfn.XLOOKUP(D54,Products!$A$2:$A$11,Products!$E$2:$E$11)</f>
        <v>15</v>
      </c>
      <c r="O54" s="3">
        <f t="shared" si="0"/>
        <v>13.5</v>
      </c>
    </row>
    <row r="55" spans="1:15" x14ac:dyDescent="0.3">
      <c r="A55" t="s">
        <v>109</v>
      </c>
      <c r="B55" s="1">
        <v>45862</v>
      </c>
      <c r="C55" t="s">
        <v>29</v>
      </c>
      <c r="D55" t="s">
        <v>60</v>
      </c>
      <c r="E55">
        <v>1</v>
      </c>
      <c r="F55" s="2">
        <v>0.1</v>
      </c>
      <c r="G55" s="2" t="str">
        <f>_xlfn.XLOOKUP(D55,Products!$A$2:$A$11,Products!$B$2:$B$11)</f>
        <v>Water Bottle</v>
      </c>
      <c r="H55" s="2" t="str">
        <f>_xlfn.XLOOKUP(D55,Products!$A$2:$A$11,Products!$C$2:$C$11)</f>
        <v>Lifestyle</v>
      </c>
      <c r="I55" s="3">
        <f>_xlfn.XLOOKUP(D55,Products!$A$2:$A$11,Products!$D$2:$D$11)</f>
        <v>18</v>
      </c>
      <c r="J55" s="3" t="str">
        <f>_xlfn.XLOOKUP(C55,Customers!$A$2:$A$101,Customers!$B$2:$B$101)</f>
        <v>Customer 043</v>
      </c>
      <c r="K55" s="3" t="str">
        <f>_xlfn.XLOOKUP(C55,Customers!$A$2:$A$101,Customers!$C$2:$C$101)</f>
        <v>Sheffield</v>
      </c>
      <c r="L55" s="3" t="str">
        <f>_xlfn.XLOOKUP(C55,Customers!$A$2:$A$101,Customers!$D$2:$D$101)</f>
        <v>Small Business</v>
      </c>
      <c r="M55" s="3">
        <f t="shared" si="1"/>
        <v>16.2</v>
      </c>
      <c r="N55" s="3">
        <f>E55*_xlfn.XLOOKUP(D55,Products!$A$2:$A$11,Products!$E$2:$E$11)</f>
        <v>7</v>
      </c>
      <c r="O55" s="3">
        <f t="shared" si="0"/>
        <v>9.1999999999999993</v>
      </c>
    </row>
    <row r="56" spans="1:15" x14ac:dyDescent="0.3">
      <c r="A56" t="s">
        <v>110</v>
      </c>
      <c r="B56" s="1">
        <v>45837</v>
      </c>
      <c r="C56" t="s">
        <v>111</v>
      </c>
      <c r="D56" t="s">
        <v>11</v>
      </c>
      <c r="E56">
        <v>4</v>
      </c>
      <c r="F56" s="2">
        <v>0.1</v>
      </c>
      <c r="G56" s="2" t="str">
        <f>_xlfn.XLOOKUP(D56,Products!$A$2:$A$11,Products!$B$2:$B$11)</f>
        <v>Office Chair</v>
      </c>
      <c r="H56" s="2" t="str">
        <f>_xlfn.XLOOKUP(D56,Products!$A$2:$A$11,Products!$C$2:$C$11)</f>
        <v>Office</v>
      </c>
      <c r="I56" s="3">
        <f>_xlfn.XLOOKUP(D56,Products!$A$2:$A$11,Products!$D$2:$D$11)</f>
        <v>180</v>
      </c>
      <c r="J56" s="3" t="str">
        <f>_xlfn.XLOOKUP(C56,Customers!$A$2:$A$101,Customers!$B$2:$B$101)</f>
        <v>Customer 083</v>
      </c>
      <c r="K56" s="3" t="str">
        <f>_xlfn.XLOOKUP(C56,Customers!$A$2:$A$101,Customers!$C$2:$C$101)</f>
        <v>Birmingham</v>
      </c>
      <c r="L56" s="3" t="str">
        <f>_xlfn.XLOOKUP(C56,Customers!$A$2:$A$101,Customers!$D$2:$D$101)</f>
        <v>Corporate</v>
      </c>
      <c r="M56" s="3">
        <f t="shared" si="1"/>
        <v>648</v>
      </c>
      <c r="N56" s="3">
        <f>E56*_xlfn.XLOOKUP(D56,Products!$A$2:$A$11,Products!$E$2:$E$11)</f>
        <v>420</v>
      </c>
      <c r="O56" s="3">
        <f t="shared" si="0"/>
        <v>228</v>
      </c>
    </row>
    <row r="57" spans="1:15" x14ac:dyDescent="0.3">
      <c r="A57" t="s">
        <v>112</v>
      </c>
      <c r="B57" s="1">
        <v>45672</v>
      </c>
      <c r="C57" t="s">
        <v>113</v>
      </c>
      <c r="D57" t="s">
        <v>60</v>
      </c>
      <c r="E57">
        <v>2</v>
      </c>
      <c r="F57" s="2">
        <v>0.1</v>
      </c>
      <c r="G57" s="2" t="str">
        <f>_xlfn.XLOOKUP(D57,Products!$A$2:$A$11,Products!$B$2:$B$11)</f>
        <v>Water Bottle</v>
      </c>
      <c r="H57" s="2" t="str">
        <f>_xlfn.XLOOKUP(D57,Products!$A$2:$A$11,Products!$C$2:$C$11)</f>
        <v>Lifestyle</v>
      </c>
      <c r="I57" s="3">
        <f>_xlfn.XLOOKUP(D57,Products!$A$2:$A$11,Products!$D$2:$D$11)</f>
        <v>18</v>
      </c>
      <c r="J57" s="3" t="str">
        <f>_xlfn.XLOOKUP(C57,Customers!$A$2:$A$101,Customers!$B$2:$B$101)</f>
        <v>Customer 015</v>
      </c>
      <c r="K57" s="3" t="str">
        <f>_xlfn.XLOOKUP(C57,Customers!$A$2:$A$101,Customers!$C$2:$C$101)</f>
        <v>Sheffield</v>
      </c>
      <c r="L57" s="3" t="str">
        <f>_xlfn.XLOOKUP(C57,Customers!$A$2:$A$101,Customers!$D$2:$D$101)</f>
        <v>Corporate</v>
      </c>
      <c r="M57" s="3">
        <f t="shared" si="1"/>
        <v>32.4</v>
      </c>
      <c r="N57" s="3">
        <f>E57*_xlfn.XLOOKUP(D57,Products!$A$2:$A$11,Products!$E$2:$E$11)</f>
        <v>14</v>
      </c>
      <c r="O57" s="3">
        <f t="shared" si="0"/>
        <v>18.399999999999999</v>
      </c>
    </row>
    <row r="58" spans="1:15" x14ac:dyDescent="0.3">
      <c r="A58" t="s">
        <v>114</v>
      </c>
      <c r="B58" s="1">
        <v>45677</v>
      </c>
      <c r="C58" t="s">
        <v>43</v>
      </c>
      <c r="D58" t="s">
        <v>8</v>
      </c>
      <c r="E58">
        <v>4</v>
      </c>
      <c r="F58" s="2">
        <v>0.1</v>
      </c>
      <c r="G58" s="2" t="str">
        <f>_xlfn.XLOOKUP(D58,Products!$A$2:$A$11,Products!$B$2:$B$11)</f>
        <v>USB-C Hub</v>
      </c>
      <c r="H58" s="2" t="str">
        <f>_xlfn.XLOOKUP(D58,Products!$A$2:$A$11,Products!$C$2:$C$11)</f>
        <v>Electronics</v>
      </c>
      <c r="I58" s="3">
        <f>_xlfn.XLOOKUP(D58,Products!$A$2:$A$11,Products!$D$2:$D$11)</f>
        <v>40</v>
      </c>
      <c r="J58" s="3" t="str">
        <f>_xlfn.XLOOKUP(C58,Customers!$A$2:$A$101,Customers!$B$2:$B$101)</f>
        <v>Customer 014</v>
      </c>
      <c r="K58" s="3" t="str">
        <f>_xlfn.XLOOKUP(C58,Customers!$A$2:$A$101,Customers!$C$2:$C$101)</f>
        <v>Sheffield</v>
      </c>
      <c r="L58" s="3" t="str">
        <f>_xlfn.XLOOKUP(C58,Customers!$A$2:$A$101,Customers!$D$2:$D$101)</f>
        <v>Corporate</v>
      </c>
      <c r="M58" s="3">
        <f t="shared" si="1"/>
        <v>144</v>
      </c>
      <c r="N58" s="3">
        <f>E58*_xlfn.XLOOKUP(D58,Products!$A$2:$A$11,Products!$E$2:$E$11)</f>
        <v>76</v>
      </c>
      <c r="O58" s="3">
        <f t="shared" si="0"/>
        <v>68</v>
      </c>
    </row>
    <row r="59" spans="1:15" x14ac:dyDescent="0.3">
      <c r="A59" t="s">
        <v>115</v>
      </c>
      <c r="B59" s="1">
        <v>45818</v>
      </c>
      <c r="C59" t="s">
        <v>116</v>
      </c>
      <c r="D59" t="s">
        <v>8</v>
      </c>
      <c r="E59">
        <v>5</v>
      </c>
      <c r="F59" s="2">
        <v>0</v>
      </c>
      <c r="G59" s="2" t="str">
        <f>_xlfn.XLOOKUP(D59,Products!$A$2:$A$11,Products!$B$2:$B$11)</f>
        <v>USB-C Hub</v>
      </c>
      <c r="H59" s="2" t="str">
        <f>_xlfn.XLOOKUP(D59,Products!$A$2:$A$11,Products!$C$2:$C$11)</f>
        <v>Electronics</v>
      </c>
      <c r="I59" s="3">
        <f>_xlfn.XLOOKUP(D59,Products!$A$2:$A$11,Products!$D$2:$D$11)</f>
        <v>40</v>
      </c>
      <c r="J59" s="3" t="str">
        <f>_xlfn.XLOOKUP(C59,Customers!$A$2:$A$101,Customers!$B$2:$B$101)</f>
        <v>Customer 056</v>
      </c>
      <c r="K59" s="3" t="str">
        <f>_xlfn.XLOOKUP(C59,Customers!$A$2:$A$101,Customers!$C$2:$C$101)</f>
        <v>Leeds</v>
      </c>
      <c r="L59" s="3" t="str">
        <f>_xlfn.XLOOKUP(C59,Customers!$A$2:$A$101,Customers!$D$2:$D$101)</f>
        <v>Small Business</v>
      </c>
      <c r="M59" s="3">
        <f t="shared" si="1"/>
        <v>200</v>
      </c>
      <c r="N59" s="3">
        <f>E59*_xlfn.XLOOKUP(D59,Products!$A$2:$A$11,Products!$E$2:$E$11)</f>
        <v>95</v>
      </c>
      <c r="O59" s="3">
        <f t="shared" si="0"/>
        <v>105</v>
      </c>
    </row>
    <row r="60" spans="1:15" x14ac:dyDescent="0.3">
      <c r="A60" t="s">
        <v>117</v>
      </c>
      <c r="B60" s="1">
        <v>45855</v>
      </c>
      <c r="C60" t="s">
        <v>35</v>
      </c>
      <c r="D60" t="s">
        <v>22</v>
      </c>
      <c r="E60">
        <v>3</v>
      </c>
      <c r="F60" s="2">
        <v>0</v>
      </c>
      <c r="G60" s="2" t="str">
        <f>_xlfn.XLOOKUP(D60,Products!$A$2:$A$11,Products!$B$2:$B$11)</f>
        <v>Desk Lamp</v>
      </c>
      <c r="H60" s="2" t="str">
        <f>_xlfn.XLOOKUP(D60,Products!$A$2:$A$11,Products!$C$2:$C$11)</f>
        <v>Office</v>
      </c>
      <c r="I60" s="3">
        <f>_xlfn.XLOOKUP(D60,Products!$A$2:$A$11,Products!$D$2:$D$11)</f>
        <v>30</v>
      </c>
      <c r="J60" s="3" t="str">
        <f>_xlfn.XLOOKUP(C60,Customers!$A$2:$A$101,Customers!$B$2:$B$101)</f>
        <v>Customer 074</v>
      </c>
      <c r="K60" s="3" t="str">
        <f>_xlfn.XLOOKUP(C60,Customers!$A$2:$A$101,Customers!$C$2:$C$101)</f>
        <v>Manchester</v>
      </c>
      <c r="L60" s="3" t="str">
        <f>_xlfn.XLOOKUP(C60,Customers!$A$2:$A$101,Customers!$D$2:$D$101)</f>
        <v>Corporate</v>
      </c>
      <c r="M60" s="3">
        <f t="shared" si="1"/>
        <v>90</v>
      </c>
      <c r="N60" s="3">
        <f>E60*_xlfn.XLOOKUP(D60,Products!$A$2:$A$11,Products!$E$2:$E$11)</f>
        <v>45</v>
      </c>
      <c r="O60" s="3">
        <f t="shared" si="0"/>
        <v>45</v>
      </c>
    </row>
    <row r="61" spans="1:15" x14ac:dyDescent="0.3">
      <c r="A61" t="s">
        <v>118</v>
      </c>
      <c r="B61" s="1">
        <v>46020</v>
      </c>
      <c r="C61" t="s">
        <v>116</v>
      </c>
      <c r="D61" t="s">
        <v>27</v>
      </c>
      <c r="E61">
        <v>5</v>
      </c>
      <c r="F61" s="2">
        <v>0.05</v>
      </c>
      <c r="G61" s="2" t="str">
        <f>_xlfn.XLOOKUP(D61,Products!$A$2:$A$11,Products!$B$2:$B$11)</f>
        <v>Laptop Stand</v>
      </c>
      <c r="H61" s="2" t="str">
        <f>_xlfn.XLOOKUP(D61,Products!$A$2:$A$11,Products!$C$2:$C$11)</f>
        <v>Office</v>
      </c>
      <c r="I61" s="3">
        <f>_xlfn.XLOOKUP(D61,Products!$A$2:$A$11,Products!$D$2:$D$11)</f>
        <v>35</v>
      </c>
      <c r="J61" s="3" t="str">
        <f>_xlfn.XLOOKUP(C61,Customers!$A$2:$A$101,Customers!$B$2:$B$101)</f>
        <v>Customer 056</v>
      </c>
      <c r="K61" s="3" t="str">
        <f>_xlfn.XLOOKUP(C61,Customers!$A$2:$A$101,Customers!$C$2:$C$101)</f>
        <v>Leeds</v>
      </c>
      <c r="L61" s="3" t="str">
        <f>_xlfn.XLOOKUP(C61,Customers!$A$2:$A$101,Customers!$D$2:$D$101)</f>
        <v>Small Business</v>
      </c>
      <c r="M61" s="3">
        <f t="shared" si="1"/>
        <v>166.25</v>
      </c>
      <c r="N61" s="3">
        <f>E61*_xlfn.XLOOKUP(D61,Products!$A$2:$A$11,Products!$E$2:$E$11)</f>
        <v>100</v>
      </c>
      <c r="O61" s="3">
        <f t="shared" si="0"/>
        <v>66.25</v>
      </c>
    </row>
    <row r="62" spans="1:15" x14ac:dyDescent="0.3">
      <c r="A62" t="s">
        <v>119</v>
      </c>
      <c r="B62" s="1">
        <v>45844</v>
      </c>
      <c r="C62" t="s">
        <v>116</v>
      </c>
      <c r="D62" t="s">
        <v>30</v>
      </c>
      <c r="E62">
        <v>3</v>
      </c>
      <c r="F62" s="2">
        <v>0.1</v>
      </c>
      <c r="G62" s="2" t="str">
        <f>_xlfn.XLOOKUP(D62,Products!$A$2:$A$11,Products!$B$2:$B$11)</f>
        <v>Wireless Mouse</v>
      </c>
      <c r="H62" s="2" t="str">
        <f>_xlfn.XLOOKUP(D62,Products!$A$2:$A$11,Products!$C$2:$C$11)</f>
        <v>Electronics</v>
      </c>
      <c r="I62" s="3">
        <f>_xlfn.XLOOKUP(D62,Products!$A$2:$A$11,Products!$D$2:$D$11)</f>
        <v>25</v>
      </c>
      <c r="J62" s="3" t="str">
        <f>_xlfn.XLOOKUP(C62,Customers!$A$2:$A$101,Customers!$B$2:$B$101)</f>
        <v>Customer 056</v>
      </c>
      <c r="K62" s="3" t="str">
        <f>_xlfn.XLOOKUP(C62,Customers!$A$2:$A$101,Customers!$C$2:$C$101)</f>
        <v>Leeds</v>
      </c>
      <c r="L62" s="3" t="str">
        <f>_xlfn.XLOOKUP(C62,Customers!$A$2:$A$101,Customers!$D$2:$D$101)</f>
        <v>Small Business</v>
      </c>
      <c r="M62" s="3">
        <f t="shared" si="1"/>
        <v>67.5</v>
      </c>
      <c r="N62" s="3">
        <f>E62*_xlfn.XLOOKUP(D62,Products!$A$2:$A$11,Products!$E$2:$E$11)</f>
        <v>36</v>
      </c>
      <c r="O62" s="3">
        <f t="shared" si="0"/>
        <v>31.5</v>
      </c>
    </row>
    <row r="63" spans="1:15" x14ac:dyDescent="0.3">
      <c r="A63" t="s">
        <v>120</v>
      </c>
      <c r="B63" s="1">
        <v>45997</v>
      </c>
      <c r="C63" t="s">
        <v>121</v>
      </c>
      <c r="D63" t="s">
        <v>60</v>
      </c>
      <c r="E63">
        <v>5</v>
      </c>
      <c r="F63" s="2">
        <v>0.1</v>
      </c>
      <c r="G63" s="2" t="str">
        <f>_xlfn.XLOOKUP(D63,Products!$A$2:$A$11,Products!$B$2:$B$11)</f>
        <v>Water Bottle</v>
      </c>
      <c r="H63" s="2" t="str">
        <f>_xlfn.XLOOKUP(D63,Products!$A$2:$A$11,Products!$C$2:$C$11)</f>
        <v>Lifestyle</v>
      </c>
      <c r="I63" s="3">
        <f>_xlfn.XLOOKUP(D63,Products!$A$2:$A$11,Products!$D$2:$D$11)</f>
        <v>18</v>
      </c>
      <c r="J63" s="3" t="str">
        <f>_xlfn.XLOOKUP(C63,Customers!$A$2:$A$101,Customers!$B$2:$B$101)</f>
        <v>Customer 016</v>
      </c>
      <c r="K63" s="3" t="str">
        <f>_xlfn.XLOOKUP(C63,Customers!$A$2:$A$101,Customers!$C$2:$C$101)</f>
        <v>Leeds</v>
      </c>
      <c r="L63" s="3" t="str">
        <f>_xlfn.XLOOKUP(C63,Customers!$A$2:$A$101,Customers!$D$2:$D$101)</f>
        <v>Consumer</v>
      </c>
      <c r="M63" s="3">
        <f t="shared" si="1"/>
        <v>81</v>
      </c>
      <c r="N63" s="3">
        <f>E63*_xlfn.XLOOKUP(D63,Products!$A$2:$A$11,Products!$E$2:$E$11)</f>
        <v>35</v>
      </c>
      <c r="O63" s="3">
        <f t="shared" si="0"/>
        <v>46</v>
      </c>
    </row>
    <row r="64" spans="1:15" x14ac:dyDescent="0.3">
      <c r="A64" t="s">
        <v>122</v>
      </c>
      <c r="B64" s="1">
        <v>45999</v>
      </c>
      <c r="C64" t="s">
        <v>123</v>
      </c>
      <c r="D64" t="s">
        <v>19</v>
      </c>
      <c r="E64">
        <v>4</v>
      </c>
      <c r="F64" s="2">
        <v>0.1</v>
      </c>
      <c r="G64" s="2" t="str">
        <f>_xlfn.XLOOKUP(D64,Products!$A$2:$A$11,Products!$B$2:$B$11)</f>
        <v>Backpack</v>
      </c>
      <c r="H64" s="2" t="str">
        <f>_xlfn.XLOOKUP(D64,Products!$A$2:$A$11,Products!$C$2:$C$11)</f>
        <v>Lifestyle</v>
      </c>
      <c r="I64" s="3">
        <f>_xlfn.XLOOKUP(D64,Products!$A$2:$A$11,Products!$D$2:$D$11)</f>
        <v>55</v>
      </c>
      <c r="J64" s="3" t="str">
        <f>_xlfn.XLOOKUP(C64,Customers!$A$2:$A$101,Customers!$B$2:$B$101)</f>
        <v>Customer 053</v>
      </c>
      <c r="K64" s="3" t="str">
        <f>_xlfn.XLOOKUP(C64,Customers!$A$2:$A$101,Customers!$C$2:$C$101)</f>
        <v>Sheffield</v>
      </c>
      <c r="L64" s="3" t="str">
        <f>_xlfn.XLOOKUP(C64,Customers!$A$2:$A$101,Customers!$D$2:$D$101)</f>
        <v>Small Business</v>
      </c>
      <c r="M64" s="3">
        <f t="shared" si="1"/>
        <v>198</v>
      </c>
      <c r="N64" s="3">
        <f>E64*_xlfn.XLOOKUP(D64,Products!$A$2:$A$11,Products!$E$2:$E$11)</f>
        <v>108</v>
      </c>
      <c r="O64" s="3">
        <f t="shared" si="0"/>
        <v>90</v>
      </c>
    </row>
    <row r="65" spans="1:15" x14ac:dyDescent="0.3">
      <c r="A65" t="s">
        <v>124</v>
      </c>
      <c r="B65" s="1">
        <v>45941</v>
      </c>
      <c r="C65" t="s">
        <v>74</v>
      </c>
      <c r="D65" t="s">
        <v>22</v>
      </c>
      <c r="E65">
        <v>4</v>
      </c>
      <c r="F65" s="2">
        <v>0.15</v>
      </c>
      <c r="G65" s="2" t="str">
        <f>_xlfn.XLOOKUP(D65,Products!$A$2:$A$11,Products!$B$2:$B$11)</f>
        <v>Desk Lamp</v>
      </c>
      <c r="H65" s="2" t="str">
        <f>_xlfn.XLOOKUP(D65,Products!$A$2:$A$11,Products!$C$2:$C$11)</f>
        <v>Office</v>
      </c>
      <c r="I65" s="3">
        <f>_xlfn.XLOOKUP(D65,Products!$A$2:$A$11,Products!$D$2:$D$11)</f>
        <v>30</v>
      </c>
      <c r="J65" s="3" t="str">
        <f>_xlfn.XLOOKUP(C65,Customers!$A$2:$A$101,Customers!$B$2:$B$101)</f>
        <v>Customer 017</v>
      </c>
      <c r="K65" s="3" t="str">
        <f>_xlfn.XLOOKUP(C65,Customers!$A$2:$A$101,Customers!$C$2:$C$101)</f>
        <v>Leeds</v>
      </c>
      <c r="L65" s="3" t="str">
        <f>_xlfn.XLOOKUP(C65,Customers!$A$2:$A$101,Customers!$D$2:$D$101)</f>
        <v>Corporate</v>
      </c>
      <c r="M65" s="3">
        <f t="shared" si="1"/>
        <v>102</v>
      </c>
      <c r="N65" s="3">
        <f>E65*_xlfn.XLOOKUP(D65,Products!$A$2:$A$11,Products!$E$2:$E$11)</f>
        <v>60</v>
      </c>
      <c r="O65" s="3">
        <f t="shared" si="0"/>
        <v>42</v>
      </c>
    </row>
    <row r="66" spans="1:15" x14ac:dyDescent="0.3">
      <c r="A66" t="s">
        <v>125</v>
      </c>
      <c r="B66" s="1">
        <v>46004</v>
      </c>
      <c r="C66" t="s">
        <v>86</v>
      </c>
      <c r="D66" t="s">
        <v>46</v>
      </c>
      <c r="E66">
        <v>5</v>
      </c>
      <c r="F66" s="2">
        <v>0.1</v>
      </c>
      <c r="G66" s="2" t="str">
        <f>_xlfn.XLOOKUP(D66,Products!$A$2:$A$11,Products!$B$2:$B$11)</f>
        <v>Keyboard</v>
      </c>
      <c r="H66" s="2" t="str">
        <f>_xlfn.XLOOKUP(D66,Products!$A$2:$A$11,Products!$C$2:$C$11)</f>
        <v>Electronics</v>
      </c>
      <c r="I66" s="3">
        <f>_xlfn.XLOOKUP(D66,Products!$A$2:$A$11,Products!$D$2:$D$11)</f>
        <v>45</v>
      </c>
      <c r="J66" s="3" t="str">
        <f>_xlfn.XLOOKUP(C66,Customers!$A$2:$A$101,Customers!$B$2:$B$101)</f>
        <v>Customer 096</v>
      </c>
      <c r="K66" s="3" t="str">
        <f>_xlfn.XLOOKUP(C66,Customers!$A$2:$A$101,Customers!$C$2:$C$101)</f>
        <v>Bristol</v>
      </c>
      <c r="L66" s="3" t="str">
        <f>_xlfn.XLOOKUP(C66,Customers!$A$2:$A$101,Customers!$D$2:$D$101)</f>
        <v>Consumer</v>
      </c>
      <c r="M66" s="3">
        <f t="shared" si="1"/>
        <v>202.5</v>
      </c>
      <c r="N66" s="3">
        <f>E66*_xlfn.XLOOKUP(D66,Products!$A$2:$A$11,Products!$E$2:$E$11)</f>
        <v>110</v>
      </c>
      <c r="O66" s="3">
        <f t="shared" si="0"/>
        <v>92.5</v>
      </c>
    </row>
    <row r="67" spans="1:15" x14ac:dyDescent="0.3">
      <c r="A67" t="s">
        <v>126</v>
      </c>
      <c r="B67" s="1">
        <v>45865</v>
      </c>
      <c r="C67" t="s">
        <v>127</v>
      </c>
      <c r="D67" t="s">
        <v>27</v>
      </c>
      <c r="E67">
        <v>3</v>
      </c>
      <c r="F67" s="2">
        <v>0.1</v>
      </c>
      <c r="G67" s="2" t="str">
        <f>_xlfn.XLOOKUP(D67,Products!$A$2:$A$11,Products!$B$2:$B$11)</f>
        <v>Laptop Stand</v>
      </c>
      <c r="H67" s="2" t="str">
        <f>_xlfn.XLOOKUP(D67,Products!$A$2:$A$11,Products!$C$2:$C$11)</f>
        <v>Office</v>
      </c>
      <c r="I67" s="3">
        <f>_xlfn.XLOOKUP(D67,Products!$A$2:$A$11,Products!$D$2:$D$11)</f>
        <v>35</v>
      </c>
      <c r="J67" s="3" t="str">
        <f>_xlfn.XLOOKUP(C67,Customers!$A$2:$A$101,Customers!$B$2:$B$101)</f>
        <v>Customer 071</v>
      </c>
      <c r="K67" s="3" t="str">
        <f>_xlfn.XLOOKUP(C67,Customers!$A$2:$A$101,Customers!$C$2:$C$101)</f>
        <v>Leeds</v>
      </c>
      <c r="L67" s="3" t="str">
        <f>_xlfn.XLOOKUP(C67,Customers!$A$2:$A$101,Customers!$D$2:$D$101)</f>
        <v>Consumer</v>
      </c>
      <c r="M67" s="3">
        <f t="shared" si="1"/>
        <v>94.5</v>
      </c>
      <c r="N67" s="3">
        <f>E67*_xlfn.XLOOKUP(D67,Products!$A$2:$A$11,Products!$E$2:$E$11)</f>
        <v>60</v>
      </c>
      <c r="O67" s="3">
        <f t="shared" ref="O67:O130" si="2">M67-N67</f>
        <v>34.5</v>
      </c>
    </row>
    <row r="68" spans="1:15" x14ac:dyDescent="0.3">
      <c r="A68" t="s">
        <v>128</v>
      </c>
      <c r="B68" s="1">
        <v>45765</v>
      </c>
      <c r="C68" t="s">
        <v>116</v>
      </c>
      <c r="D68" t="s">
        <v>8</v>
      </c>
      <c r="E68">
        <v>5</v>
      </c>
      <c r="F68" s="2">
        <v>0.1</v>
      </c>
      <c r="G68" s="2" t="str">
        <f>_xlfn.XLOOKUP(D68,Products!$A$2:$A$11,Products!$B$2:$B$11)</f>
        <v>USB-C Hub</v>
      </c>
      <c r="H68" s="2" t="str">
        <f>_xlfn.XLOOKUP(D68,Products!$A$2:$A$11,Products!$C$2:$C$11)</f>
        <v>Electronics</v>
      </c>
      <c r="I68" s="3">
        <f>_xlfn.XLOOKUP(D68,Products!$A$2:$A$11,Products!$D$2:$D$11)</f>
        <v>40</v>
      </c>
      <c r="J68" s="3" t="str">
        <f>_xlfn.XLOOKUP(C68,Customers!$A$2:$A$101,Customers!$B$2:$B$101)</f>
        <v>Customer 056</v>
      </c>
      <c r="K68" s="3" t="str">
        <f>_xlfn.XLOOKUP(C68,Customers!$A$2:$A$101,Customers!$C$2:$C$101)</f>
        <v>Leeds</v>
      </c>
      <c r="L68" s="3" t="str">
        <f>_xlfn.XLOOKUP(C68,Customers!$A$2:$A$101,Customers!$D$2:$D$101)</f>
        <v>Small Business</v>
      </c>
      <c r="M68" s="3">
        <f t="shared" ref="M68:M131" si="3">E68*I68*(1-F68)</f>
        <v>180</v>
      </c>
      <c r="N68" s="3">
        <f>E68*_xlfn.XLOOKUP(D68,Products!$A$2:$A$11,Products!$E$2:$E$11)</f>
        <v>95</v>
      </c>
      <c r="O68" s="3">
        <f t="shared" si="2"/>
        <v>85</v>
      </c>
    </row>
    <row r="69" spans="1:15" x14ac:dyDescent="0.3">
      <c r="A69" t="s">
        <v>129</v>
      </c>
      <c r="B69" s="1">
        <v>45896</v>
      </c>
      <c r="C69" t="s">
        <v>130</v>
      </c>
      <c r="D69" t="s">
        <v>33</v>
      </c>
      <c r="E69">
        <v>2</v>
      </c>
      <c r="F69" s="2">
        <v>0.15</v>
      </c>
      <c r="G69" s="2" t="str">
        <f>_xlfn.XLOOKUP(D69,Products!$A$2:$A$11,Products!$B$2:$B$11)</f>
        <v>Notebook Pack</v>
      </c>
      <c r="H69" s="2" t="str">
        <f>_xlfn.XLOOKUP(D69,Products!$A$2:$A$11,Products!$C$2:$C$11)</f>
        <v>Stationery</v>
      </c>
      <c r="I69" s="3">
        <f>_xlfn.XLOOKUP(D69,Products!$A$2:$A$11,Products!$D$2:$D$11)</f>
        <v>12</v>
      </c>
      <c r="J69" s="3" t="str">
        <f>_xlfn.XLOOKUP(C69,Customers!$A$2:$A$101,Customers!$B$2:$B$101)</f>
        <v>Customer 057</v>
      </c>
      <c r="K69" s="3" t="str">
        <f>_xlfn.XLOOKUP(C69,Customers!$A$2:$A$101,Customers!$C$2:$C$101)</f>
        <v>London</v>
      </c>
      <c r="L69" s="3" t="str">
        <f>_xlfn.XLOOKUP(C69,Customers!$A$2:$A$101,Customers!$D$2:$D$101)</f>
        <v>Consumer</v>
      </c>
      <c r="M69" s="3">
        <f t="shared" si="3"/>
        <v>20.399999999999999</v>
      </c>
      <c r="N69" s="3">
        <f>E69*_xlfn.XLOOKUP(D69,Products!$A$2:$A$11,Products!$E$2:$E$11)</f>
        <v>10</v>
      </c>
      <c r="O69" s="3">
        <f t="shared" si="2"/>
        <v>10.399999999999999</v>
      </c>
    </row>
    <row r="70" spans="1:15" x14ac:dyDescent="0.3">
      <c r="A70" t="s">
        <v>131</v>
      </c>
      <c r="B70" s="1">
        <v>45744</v>
      </c>
      <c r="C70" t="s">
        <v>132</v>
      </c>
      <c r="D70" t="s">
        <v>30</v>
      </c>
      <c r="E70">
        <v>3</v>
      </c>
      <c r="F70" s="2">
        <v>0.1</v>
      </c>
      <c r="G70" s="2" t="str">
        <f>_xlfn.XLOOKUP(D70,Products!$A$2:$A$11,Products!$B$2:$B$11)</f>
        <v>Wireless Mouse</v>
      </c>
      <c r="H70" s="2" t="str">
        <f>_xlfn.XLOOKUP(D70,Products!$A$2:$A$11,Products!$C$2:$C$11)</f>
        <v>Electronics</v>
      </c>
      <c r="I70" s="3">
        <f>_xlfn.XLOOKUP(D70,Products!$A$2:$A$11,Products!$D$2:$D$11)</f>
        <v>25</v>
      </c>
      <c r="J70" s="3" t="str">
        <f>_xlfn.XLOOKUP(C70,Customers!$A$2:$A$101,Customers!$B$2:$B$101)</f>
        <v>Customer 085</v>
      </c>
      <c r="K70" s="3" t="str">
        <f>_xlfn.XLOOKUP(C70,Customers!$A$2:$A$101,Customers!$C$2:$C$101)</f>
        <v>Birmingham</v>
      </c>
      <c r="L70" s="3" t="str">
        <f>_xlfn.XLOOKUP(C70,Customers!$A$2:$A$101,Customers!$D$2:$D$101)</f>
        <v>Small Business</v>
      </c>
      <c r="M70" s="3">
        <f t="shared" si="3"/>
        <v>67.5</v>
      </c>
      <c r="N70" s="3">
        <f>E70*_xlfn.XLOOKUP(D70,Products!$A$2:$A$11,Products!$E$2:$E$11)</f>
        <v>36</v>
      </c>
      <c r="O70" s="3">
        <f t="shared" si="2"/>
        <v>31.5</v>
      </c>
    </row>
    <row r="71" spans="1:15" x14ac:dyDescent="0.3">
      <c r="A71" t="s">
        <v>133</v>
      </c>
      <c r="B71" s="1">
        <v>45705</v>
      </c>
      <c r="C71" t="s">
        <v>52</v>
      </c>
      <c r="D71" t="s">
        <v>22</v>
      </c>
      <c r="E71">
        <v>3</v>
      </c>
      <c r="F71" s="2">
        <v>0.05</v>
      </c>
      <c r="G71" s="2" t="str">
        <f>_xlfn.XLOOKUP(D71,Products!$A$2:$A$11,Products!$B$2:$B$11)</f>
        <v>Desk Lamp</v>
      </c>
      <c r="H71" s="2" t="str">
        <f>_xlfn.XLOOKUP(D71,Products!$A$2:$A$11,Products!$C$2:$C$11)</f>
        <v>Office</v>
      </c>
      <c r="I71" s="3">
        <f>_xlfn.XLOOKUP(D71,Products!$A$2:$A$11,Products!$D$2:$D$11)</f>
        <v>30</v>
      </c>
      <c r="J71" s="3" t="str">
        <f>_xlfn.XLOOKUP(C71,Customers!$A$2:$A$101,Customers!$B$2:$B$101)</f>
        <v>Customer 097</v>
      </c>
      <c r="K71" s="3" t="str">
        <f>_xlfn.XLOOKUP(C71,Customers!$A$2:$A$101,Customers!$C$2:$C$101)</f>
        <v>Bristol</v>
      </c>
      <c r="L71" s="3" t="str">
        <f>_xlfn.XLOOKUP(C71,Customers!$A$2:$A$101,Customers!$D$2:$D$101)</f>
        <v>Small Business</v>
      </c>
      <c r="M71" s="3">
        <f t="shared" si="3"/>
        <v>85.5</v>
      </c>
      <c r="N71" s="3">
        <f>E71*_xlfn.XLOOKUP(D71,Products!$A$2:$A$11,Products!$E$2:$E$11)</f>
        <v>45</v>
      </c>
      <c r="O71" s="3">
        <f t="shared" si="2"/>
        <v>40.5</v>
      </c>
    </row>
    <row r="72" spans="1:15" x14ac:dyDescent="0.3">
      <c r="A72" t="s">
        <v>134</v>
      </c>
      <c r="B72" s="1">
        <v>45759</v>
      </c>
      <c r="C72" t="s">
        <v>135</v>
      </c>
      <c r="D72" t="s">
        <v>27</v>
      </c>
      <c r="E72">
        <v>1</v>
      </c>
      <c r="F72" s="2">
        <v>0.05</v>
      </c>
      <c r="G72" s="2" t="str">
        <f>_xlfn.XLOOKUP(D72,Products!$A$2:$A$11,Products!$B$2:$B$11)</f>
        <v>Laptop Stand</v>
      </c>
      <c r="H72" s="2" t="str">
        <f>_xlfn.XLOOKUP(D72,Products!$A$2:$A$11,Products!$C$2:$C$11)</f>
        <v>Office</v>
      </c>
      <c r="I72" s="3">
        <f>_xlfn.XLOOKUP(D72,Products!$A$2:$A$11,Products!$D$2:$D$11)</f>
        <v>35</v>
      </c>
      <c r="J72" s="3" t="str">
        <f>_xlfn.XLOOKUP(C72,Customers!$A$2:$A$101,Customers!$B$2:$B$101)</f>
        <v>Customer 019</v>
      </c>
      <c r="K72" s="3" t="str">
        <f>_xlfn.XLOOKUP(C72,Customers!$A$2:$A$101,Customers!$C$2:$C$101)</f>
        <v>Manchester</v>
      </c>
      <c r="L72" s="3" t="str">
        <f>_xlfn.XLOOKUP(C72,Customers!$A$2:$A$101,Customers!$D$2:$D$101)</f>
        <v>Corporate</v>
      </c>
      <c r="M72" s="3">
        <f t="shared" si="3"/>
        <v>33.25</v>
      </c>
      <c r="N72" s="3">
        <f>E72*_xlfn.XLOOKUP(D72,Products!$A$2:$A$11,Products!$E$2:$E$11)</f>
        <v>20</v>
      </c>
      <c r="O72" s="3">
        <f t="shared" si="2"/>
        <v>13.25</v>
      </c>
    </row>
    <row r="73" spans="1:15" x14ac:dyDescent="0.3">
      <c r="A73" t="s">
        <v>136</v>
      </c>
      <c r="B73" s="1">
        <v>45901</v>
      </c>
      <c r="C73" t="s">
        <v>137</v>
      </c>
      <c r="D73" t="s">
        <v>30</v>
      </c>
      <c r="E73">
        <v>4</v>
      </c>
      <c r="F73" s="2">
        <v>0.15</v>
      </c>
      <c r="G73" s="2" t="str">
        <f>_xlfn.XLOOKUP(D73,Products!$A$2:$A$11,Products!$B$2:$B$11)</f>
        <v>Wireless Mouse</v>
      </c>
      <c r="H73" s="2" t="str">
        <f>_xlfn.XLOOKUP(D73,Products!$A$2:$A$11,Products!$C$2:$C$11)</f>
        <v>Electronics</v>
      </c>
      <c r="I73" s="3">
        <f>_xlfn.XLOOKUP(D73,Products!$A$2:$A$11,Products!$D$2:$D$11)</f>
        <v>25</v>
      </c>
      <c r="J73" s="3" t="str">
        <f>_xlfn.XLOOKUP(C73,Customers!$A$2:$A$101,Customers!$B$2:$B$101)</f>
        <v>Customer 079</v>
      </c>
      <c r="K73" s="3" t="str">
        <f>_xlfn.XLOOKUP(C73,Customers!$A$2:$A$101,Customers!$C$2:$C$101)</f>
        <v>Birmingham</v>
      </c>
      <c r="L73" s="3" t="str">
        <f>_xlfn.XLOOKUP(C73,Customers!$A$2:$A$101,Customers!$D$2:$D$101)</f>
        <v>Corporate</v>
      </c>
      <c r="M73" s="3">
        <f t="shared" si="3"/>
        <v>85</v>
      </c>
      <c r="N73" s="3">
        <f>E73*_xlfn.XLOOKUP(D73,Products!$A$2:$A$11,Products!$E$2:$E$11)</f>
        <v>48</v>
      </c>
      <c r="O73" s="3">
        <f t="shared" si="2"/>
        <v>37</v>
      </c>
    </row>
    <row r="74" spans="1:15" x14ac:dyDescent="0.3">
      <c r="A74" t="s">
        <v>138</v>
      </c>
      <c r="B74" s="1">
        <v>45980</v>
      </c>
      <c r="C74" t="s">
        <v>35</v>
      </c>
      <c r="D74" t="s">
        <v>22</v>
      </c>
      <c r="E74">
        <v>4</v>
      </c>
      <c r="F74" s="2">
        <v>0.15</v>
      </c>
      <c r="G74" s="2" t="str">
        <f>_xlfn.XLOOKUP(D74,Products!$A$2:$A$11,Products!$B$2:$B$11)</f>
        <v>Desk Lamp</v>
      </c>
      <c r="H74" s="2" t="str">
        <f>_xlfn.XLOOKUP(D74,Products!$A$2:$A$11,Products!$C$2:$C$11)</f>
        <v>Office</v>
      </c>
      <c r="I74" s="3">
        <f>_xlfn.XLOOKUP(D74,Products!$A$2:$A$11,Products!$D$2:$D$11)</f>
        <v>30</v>
      </c>
      <c r="J74" s="3" t="str">
        <f>_xlfn.XLOOKUP(C74,Customers!$A$2:$A$101,Customers!$B$2:$B$101)</f>
        <v>Customer 074</v>
      </c>
      <c r="K74" s="3" t="str">
        <f>_xlfn.XLOOKUP(C74,Customers!$A$2:$A$101,Customers!$C$2:$C$101)</f>
        <v>Manchester</v>
      </c>
      <c r="L74" s="3" t="str">
        <f>_xlfn.XLOOKUP(C74,Customers!$A$2:$A$101,Customers!$D$2:$D$101)</f>
        <v>Corporate</v>
      </c>
      <c r="M74" s="3">
        <f t="shared" si="3"/>
        <v>102</v>
      </c>
      <c r="N74" s="3">
        <f>E74*_xlfn.XLOOKUP(D74,Products!$A$2:$A$11,Products!$E$2:$E$11)</f>
        <v>60</v>
      </c>
      <c r="O74" s="3">
        <f t="shared" si="2"/>
        <v>42</v>
      </c>
    </row>
    <row r="75" spans="1:15" x14ac:dyDescent="0.3">
      <c r="A75" t="s">
        <v>139</v>
      </c>
      <c r="B75" s="1">
        <v>45862</v>
      </c>
      <c r="C75" t="s">
        <v>21</v>
      </c>
      <c r="D75" t="s">
        <v>46</v>
      </c>
      <c r="E75">
        <v>1</v>
      </c>
      <c r="F75" s="2">
        <v>0</v>
      </c>
      <c r="G75" s="2" t="str">
        <f>_xlfn.XLOOKUP(D75,Products!$A$2:$A$11,Products!$B$2:$B$11)</f>
        <v>Keyboard</v>
      </c>
      <c r="H75" s="2" t="str">
        <f>_xlfn.XLOOKUP(D75,Products!$A$2:$A$11,Products!$C$2:$C$11)</f>
        <v>Electronics</v>
      </c>
      <c r="I75" s="3">
        <f>_xlfn.XLOOKUP(D75,Products!$A$2:$A$11,Products!$D$2:$D$11)</f>
        <v>45</v>
      </c>
      <c r="J75" s="3" t="str">
        <f>_xlfn.XLOOKUP(C75,Customers!$A$2:$A$101,Customers!$B$2:$B$101)</f>
        <v>Customer 032</v>
      </c>
      <c r="K75" s="3" t="str">
        <f>_xlfn.XLOOKUP(C75,Customers!$A$2:$A$101,Customers!$C$2:$C$101)</f>
        <v>Bristol</v>
      </c>
      <c r="L75" s="3" t="str">
        <f>_xlfn.XLOOKUP(C75,Customers!$A$2:$A$101,Customers!$D$2:$D$101)</f>
        <v>Small Business</v>
      </c>
      <c r="M75" s="3">
        <f t="shared" si="3"/>
        <v>45</v>
      </c>
      <c r="N75" s="3">
        <f>E75*_xlfn.XLOOKUP(D75,Products!$A$2:$A$11,Products!$E$2:$E$11)</f>
        <v>22</v>
      </c>
      <c r="O75" s="3">
        <f t="shared" si="2"/>
        <v>23</v>
      </c>
    </row>
    <row r="76" spans="1:15" x14ac:dyDescent="0.3">
      <c r="A76" t="s">
        <v>140</v>
      </c>
      <c r="B76" s="1">
        <v>45875</v>
      </c>
      <c r="C76" t="s">
        <v>106</v>
      </c>
      <c r="D76" t="s">
        <v>46</v>
      </c>
      <c r="E76">
        <v>5</v>
      </c>
      <c r="F76" s="2">
        <v>0.15</v>
      </c>
      <c r="G76" s="2" t="str">
        <f>_xlfn.XLOOKUP(D76,Products!$A$2:$A$11,Products!$B$2:$B$11)</f>
        <v>Keyboard</v>
      </c>
      <c r="H76" s="2" t="str">
        <f>_xlfn.XLOOKUP(D76,Products!$A$2:$A$11,Products!$C$2:$C$11)</f>
        <v>Electronics</v>
      </c>
      <c r="I76" s="3">
        <f>_xlfn.XLOOKUP(D76,Products!$A$2:$A$11,Products!$D$2:$D$11)</f>
        <v>45</v>
      </c>
      <c r="J76" s="3" t="str">
        <f>_xlfn.XLOOKUP(C76,Customers!$A$2:$A$101,Customers!$B$2:$B$101)</f>
        <v>Customer 029</v>
      </c>
      <c r="K76" s="3" t="str">
        <f>_xlfn.XLOOKUP(C76,Customers!$A$2:$A$101,Customers!$C$2:$C$101)</f>
        <v>London</v>
      </c>
      <c r="L76" s="3" t="str">
        <f>_xlfn.XLOOKUP(C76,Customers!$A$2:$A$101,Customers!$D$2:$D$101)</f>
        <v>Small Business</v>
      </c>
      <c r="M76" s="3">
        <f t="shared" si="3"/>
        <v>191.25</v>
      </c>
      <c r="N76" s="3">
        <f>E76*_xlfn.XLOOKUP(D76,Products!$A$2:$A$11,Products!$E$2:$E$11)</f>
        <v>110</v>
      </c>
      <c r="O76" s="3">
        <f t="shared" si="2"/>
        <v>81.25</v>
      </c>
    </row>
    <row r="77" spans="1:15" x14ac:dyDescent="0.3">
      <c r="A77" t="s">
        <v>141</v>
      </c>
      <c r="B77" s="1">
        <v>45683</v>
      </c>
      <c r="C77" t="s">
        <v>142</v>
      </c>
      <c r="D77" t="s">
        <v>22</v>
      </c>
      <c r="E77">
        <v>1</v>
      </c>
      <c r="F77" s="2">
        <v>0.15</v>
      </c>
      <c r="G77" s="2" t="str">
        <f>_xlfn.XLOOKUP(D77,Products!$A$2:$A$11,Products!$B$2:$B$11)</f>
        <v>Desk Lamp</v>
      </c>
      <c r="H77" s="2" t="str">
        <f>_xlfn.XLOOKUP(D77,Products!$A$2:$A$11,Products!$C$2:$C$11)</f>
        <v>Office</v>
      </c>
      <c r="I77" s="3">
        <f>_xlfn.XLOOKUP(D77,Products!$A$2:$A$11,Products!$D$2:$D$11)</f>
        <v>30</v>
      </c>
      <c r="J77" s="3" t="str">
        <f>_xlfn.XLOOKUP(C77,Customers!$A$2:$A$101,Customers!$B$2:$B$101)</f>
        <v>Customer 072</v>
      </c>
      <c r="K77" s="3" t="str">
        <f>_xlfn.XLOOKUP(C77,Customers!$A$2:$A$101,Customers!$C$2:$C$101)</f>
        <v>London</v>
      </c>
      <c r="L77" s="3" t="str">
        <f>_xlfn.XLOOKUP(C77,Customers!$A$2:$A$101,Customers!$D$2:$D$101)</f>
        <v>Consumer</v>
      </c>
      <c r="M77" s="3">
        <f t="shared" si="3"/>
        <v>25.5</v>
      </c>
      <c r="N77" s="3">
        <f>E77*_xlfn.XLOOKUP(D77,Products!$A$2:$A$11,Products!$E$2:$E$11)</f>
        <v>15</v>
      </c>
      <c r="O77" s="3">
        <f t="shared" si="2"/>
        <v>10.5</v>
      </c>
    </row>
    <row r="78" spans="1:15" x14ac:dyDescent="0.3">
      <c r="A78" t="s">
        <v>143</v>
      </c>
      <c r="B78" s="1">
        <v>45726</v>
      </c>
      <c r="C78" t="s">
        <v>48</v>
      </c>
      <c r="D78" t="s">
        <v>11</v>
      </c>
      <c r="E78">
        <v>5</v>
      </c>
      <c r="F78" s="2">
        <v>0.1</v>
      </c>
      <c r="G78" s="2" t="str">
        <f>_xlfn.XLOOKUP(D78,Products!$A$2:$A$11,Products!$B$2:$B$11)</f>
        <v>Office Chair</v>
      </c>
      <c r="H78" s="2" t="str">
        <f>_xlfn.XLOOKUP(D78,Products!$A$2:$A$11,Products!$C$2:$C$11)</f>
        <v>Office</v>
      </c>
      <c r="I78" s="3">
        <f>_xlfn.XLOOKUP(D78,Products!$A$2:$A$11,Products!$D$2:$D$11)</f>
        <v>180</v>
      </c>
      <c r="J78" s="3" t="str">
        <f>_xlfn.XLOOKUP(C78,Customers!$A$2:$A$101,Customers!$B$2:$B$101)</f>
        <v>Customer 060</v>
      </c>
      <c r="K78" s="3" t="str">
        <f>_xlfn.XLOOKUP(C78,Customers!$A$2:$A$101,Customers!$C$2:$C$101)</f>
        <v>Sheffield</v>
      </c>
      <c r="L78" s="3" t="str">
        <f>_xlfn.XLOOKUP(C78,Customers!$A$2:$A$101,Customers!$D$2:$D$101)</f>
        <v>Small Business</v>
      </c>
      <c r="M78" s="3">
        <f t="shared" si="3"/>
        <v>810</v>
      </c>
      <c r="N78" s="3">
        <f>E78*_xlfn.XLOOKUP(D78,Products!$A$2:$A$11,Products!$E$2:$E$11)</f>
        <v>525</v>
      </c>
      <c r="O78" s="3">
        <f t="shared" si="2"/>
        <v>285</v>
      </c>
    </row>
    <row r="79" spans="1:15" x14ac:dyDescent="0.3">
      <c r="A79" t="s">
        <v>144</v>
      </c>
      <c r="B79" s="1">
        <v>45884</v>
      </c>
      <c r="C79" t="s">
        <v>137</v>
      </c>
      <c r="D79" t="s">
        <v>11</v>
      </c>
      <c r="E79">
        <v>4</v>
      </c>
      <c r="F79" s="2">
        <v>0.15</v>
      </c>
      <c r="G79" s="2" t="str">
        <f>_xlfn.XLOOKUP(D79,Products!$A$2:$A$11,Products!$B$2:$B$11)</f>
        <v>Office Chair</v>
      </c>
      <c r="H79" s="2" t="str">
        <f>_xlfn.XLOOKUP(D79,Products!$A$2:$A$11,Products!$C$2:$C$11)</f>
        <v>Office</v>
      </c>
      <c r="I79" s="3">
        <f>_xlfn.XLOOKUP(D79,Products!$A$2:$A$11,Products!$D$2:$D$11)</f>
        <v>180</v>
      </c>
      <c r="J79" s="3" t="str">
        <f>_xlfn.XLOOKUP(C79,Customers!$A$2:$A$101,Customers!$B$2:$B$101)</f>
        <v>Customer 079</v>
      </c>
      <c r="K79" s="3" t="str">
        <f>_xlfn.XLOOKUP(C79,Customers!$A$2:$A$101,Customers!$C$2:$C$101)</f>
        <v>Birmingham</v>
      </c>
      <c r="L79" s="3" t="str">
        <f>_xlfn.XLOOKUP(C79,Customers!$A$2:$A$101,Customers!$D$2:$D$101)</f>
        <v>Corporate</v>
      </c>
      <c r="M79" s="3">
        <f t="shared" si="3"/>
        <v>612</v>
      </c>
      <c r="N79" s="3">
        <f>E79*_xlfn.XLOOKUP(D79,Products!$A$2:$A$11,Products!$E$2:$E$11)</f>
        <v>420</v>
      </c>
      <c r="O79" s="3">
        <f t="shared" si="2"/>
        <v>192</v>
      </c>
    </row>
    <row r="80" spans="1:15" x14ac:dyDescent="0.3">
      <c r="A80" t="s">
        <v>145</v>
      </c>
      <c r="B80" s="1">
        <v>45739</v>
      </c>
      <c r="C80" t="s">
        <v>86</v>
      </c>
      <c r="D80" t="s">
        <v>33</v>
      </c>
      <c r="E80">
        <v>4</v>
      </c>
      <c r="F80" s="2">
        <v>0.1</v>
      </c>
      <c r="G80" s="2" t="str">
        <f>_xlfn.XLOOKUP(D80,Products!$A$2:$A$11,Products!$B$2:$B$11)</f>
        <v>Notebook Pack</v>
      </c>
      <c r="H80" s="2" t="str">
        <f>_xlfn.XLOOKUP(D80,Products!$A$2:$A$11,Products!$C$2:$C$11)</f>
        <v>Stationery</v>
      </c>
      <c r="I80" s="3">
        <f>_xlfn.XLOOKUP(D80,Products!$A$2:$A$11,Products!$D$2:$D$11)</f>
        <v>12</v>
      </c>
      <c r="J80" s="3" t="str">
        <f>_xlfn.XLOOKUP(C80,Customers!$A$2:$A$101,Customers!$B$2:$B$101)</f>
        <v>Customer 096</v>
      </c>
      <c r="K80" s="3" t="str">
        <f>_xlfn.XLOOKUP(C80,Customers!$A$2:$A$101,Customers!$C$2:$C$101)</f>
        <v>Bristol</v>
      </c>
      <c r="L80" s="3" t="str">
        <f>_xlfn.XLOOKUP(C80,Customers!$A$2:$A$101,Customers!$D$2:$D$101)</f>
        <v>Consumer</v>
      </c>
      <c r="M80" s="3">
        <f t="shared" si="3"/>
        <v>43.2</v>
      </c>
      <c r="N80" s="3">
        <f>E80*_xlfn.XLOOKUP(D80,Products!$A$2:$A$11,Products!$E$2:$E$11)</f>
        <v>20</v>
      </c>
      <c r="O80" s="3">
        <f t="shared" si="2"/>
        <v>23.200000000000003</v>
      </c>
    </row>
    <row r="81" spans="1:15" x14ac:dyDescent="0.3">
      <c r="A81" t="s">
        <v>146</v>
      </c>
      <c r="B81" s="1">
        <v>45784</v>
      </c>
      <c r="C81" t="s">
        <v>89</v>
      </c>
      <c r="D81" t="s">
        <v>60</v>
      </c>
      <c r="E81">
        <v>5</v>
      </c>
      <c r="F81" s="2">
        <v>0.15</v>
      </c>
      <c r="G81" s="2" t="str">
        <f>_xlfn.XLOOKUP(D81,Products!$A$2:$A$11,Products!$B$2:$B$11)</f>
        <v>Water Bottle</v>
      </c>
      <c r="H81" s="2" t="str">
        <f>_xlfn.XLOOKUP(D81,Products!$A$2:$A$11,Products!$C$2:$C$11)</f>
        <v>Lifestyle</v>
      </c>
      <c r="I81" s="3">
        <f>_xlfn.XLOOKUP(D81,Products!$A$2:$A$11,Products!$D$2:$D$11)</f>
        <v>18</v>
      </c>
      <c r="J81" s="3" t="str">
        <f>_xlfn.XLOOKUP(C81,Customers!$A$2:$A$101,Customers!$B$2:$B$101)</f>
        <v>Customer 082</v>
      </c>
      <c r="K81" s="3" t="str">
        <f>_xlfn.XLOOKUP(C81,Customers!$A$2:$A$101,Customers!$C$2:$C$101)</f>
        <v>Sheffield</v>
      </c>
      <c r="L81" s="3" t="str">
        <f>_xlfn.XLOOKUP(C81,Customers!$A$2:$A$101,Customers!$D$2:$D$101)</f>
        <v>Corporate</v>
      </c>
      <c r="M81" s="3">
        <f t="shared" si="3"/>
        <v>76.5</v>
      </c>
      <c r="N81" s="3">
        <f>E81*_xlfn.XLOOKUP(D81,Products!$A$2:$A$11,Products!$E$2:$E$11)</f>
        <v>35</v>
      </c>
      <c r="O81" s="3">
        <f t="shared" si="2"/>
        <v>41.5</v>
      </c>
    </row>
    <row r="82" spans="1:15" x14ac:dyDescent="0.3">
      <c r="A82" t="s">
        <v>147</v>
      </c>
      <c r="B82" s="1">
        <v>45978</v>
      </c>
      <c r="C82" t="s">
        <v>7</v>
      </c>
      <c r="D82" t="s">
        <v>60</v>
      </c>
      <c r="E82">
        <v>4</v>
      </c>
      <c r="F82" s="2">
        <v>0</v>
      </c>
      <c r="G82" s="2" t="str">
        <f>_xlfn.XLOOKUP(D82,Products!$A$2:$A$11,Products!$B$2:$B$11)</f>
        <v>Water Bottle</v>
      </c>
      <c r="H82" s="2" t="str">
        <f>_xlfn.XLOOKUP(D82,Products!$A$2:$A$11,Products!$C$2:$C$11)</f>
        <v>Lifestyle</v>
      </c>
      <c r="I82" s="3">
        <f>_xlfn.XLOOKUP(D82,Products!$A$2:$A$11,Products!$D$2:$D$11)</f>
        <v>18</v>
      </c>
      <c r="J82" s="3" t="str">
        <f>_xlfn.XLOOKUP(C82,Customers!$A$2:$A$101,Customers!$B$2:$B$101)</f>
        <v>Customer 031</v>
      </c>
      <c r="K82" s="3" t="str">
        <f>_xlfn.XLOOKUP(C82,Customers!$A$2:$A$101,Customers!$C$2:$C$101)</f>
        <v>Birmingham</v>
      </c>
      <c r="L82" s="3" t="str">
        <f>_xlfn.XLOOKUP(C82,Customers!$A$2:$A$101,Customers!$D$2:$D$101)</f>
        <v>Corporate</v>
      </c>
      <c r="M82" s="3">
        <f t="shared" si="3"/>
        <v>72</v>
      </c>
      <c r="N82" s="3">
        <f>E82*_xlfn.XLOOKUP(D82,Products!$A$2:$A$11,Products!$E$2:$E$11)</f>
        <v>28</v>
      </c>
      <c r="O82" s="3">
        <f t="shared" si="2"/>
        <v>44</v>
      </c>
    </row>
    <row r="83" spans="1:15" x14ac:dyDescent="0.3">
      <c r="A83" t="s">
        <v>148</v>
      </c>
      <c r="B83" s="1">
        <v>45804</v>
      </c>
      <c r="C83" t="s">
        <v>7</v>
      </c>
      <c r="D83" t="s">
        <v>60</v>
      </c>
      <c r="E83">
        <v>3</v>
      </c>
      <c r="F83" s="2">
        <v>0.1</v>
      </c>
      <c r="G83" s="2" t="str">
        <f>_xlfn.XLOOKUP(D83,Products!$A$2:$A$11,Products!$B$2:$B$11)</f>
        <v>Water Bottle</v>
      </c>
      <c r="H83" s="2" t="str">
        <f>_xlfn.XLOOKUP(D83,Products!$A$2:$A$11,Products!$C$2:$C$11)</f>
        <v>Lifestyle</v>
      </c>
      <c r="I83" s="3">
        <f>_xlfn.XLOOKUP(D83,Products!$A$2:$A$11,Products!$D$2:$D$11)</f>
        <v>18</v>
      </c>
      <c r="J83" s="3" t="str">
        <f>_xlfn.XLOOKUP(C83,Customers!$A$2:$A$101,Customers!$B$2:$B$101)</f>
        <v>Customer 031</v>
      </c>
      <c r="K83" s="3" t="str">
        <f>_xlfn.XLOOKUP(C83,Customers!$A$2:$A$101,Customers!$C$2:$C$101)</f>
        <v>Birmingham</v>
      </c>
      <c r="L83" s="3" t="str">
        <f>_xlfn.XLOOKUP(C83,Customers!$A$2:$A$101,Customers!$D$2:$D$101)</f>
        <v>Corporate</v>
      </c>
      <c r="M83" s="3">
        <f t="shared" si="3"/>
        <v>48.6</v>
      </c>
      <c r="N83" s="3">
        <f>E83*_xlfn.XLOOKUP(D83,Products!$A$2:$A$11,Products!$E$2:$E$11)</f>
        <v>21</v>
      </c>
      <c r="O83" s="3">
        <f t="shared" si="2"/>
        <v>27.6</v>
      </c>
    </row>
    <row r="84" spans="1:15" x14ac:dyDescent="0.3">
      <c r="A84" t="s">
        <v>149</v>
      </c>
      <c r="B84" s="1">
        <v>45934</v>
      </c>
      <c r="C84" t="s">
        <v>70</v>
      </c>
      <c r="D84" t="s">
        <v>46</v>
      </c>
      <c r="E84">
        <v>2</v>
      </c>
      <c r="F84" s="2">
        <v>0.05</v>
      </c>
      <c r="G84" s="2" t="str">
        <f>_xlfn.XLOOKUP(D84,Products!$A$2:$A$11,Products!$B$2:$B$11)</f>
        <v>Keyboard</v>
      </c>
      <c r="H84" s="2" t="str">
        <f>_xlfn.XLOOKUP(D84,Products!$A$2:$A$11,Products!$C$2:$C$11)</f>
        <v>Electronics</v>
      </c>
      <c r="I84" s="3">
        <f>_xlfn.XLOOKUP(D84,Products!$A$2:$A$11,Products!$D$2:$D$11)</f>
        <v>45</v>
      </c>
      <c r="J84" s="3" t="str">
        <f>_xlfn.XLOOKUP(C84,Customers!$A$2:$A$101,Customers!$B$2:$B$101)</f>
        <v>Customer 011</v>
      </c>
      <c r="K84" s="3" t="str">
        <f>_xlfn.XLOOKUP(C84,Customers!$A$2:$A$101,Customers!$C$2:$C$101)</f>
        <v>Manchester</v>
      </c>
      <c r="L84" s="3" t="str">
        <f>_xlfn.XLOOKUP(C84,Customers!$A$2:$A$101,Customers!$D$2:$D$101)</f>
        <v>Corporate</v>
      </c>
      <c r="M84" s="3">
        <f t="shared" si="3"/>
        <v>85.5</v>
      </c>
      <c r="N84" s="3">
        <f>E84*_xlfn.XLOOKUP(D84,Products!$A$2:$A$11,Products!$E$2:$E$11)</f>
        <v>44</v>
      </c>
      <c r="O84" s="3">
        <f t="shared" si="2"/>
        <v>41.5</v>
      </c>
    </row>
    <row r="85" spans="1:15" x14ac:dyDescent="0.3">
      <c r="A85" t="s">
        <v>150</v>
      </c>
      <c r="B85" s="1">
        <v>45854</v>
      </c>
      <c r="C85" t="s">
        <v>151</v>
      </c>
      <c r="D85" t="s">
        <v>46</v>
      </c>
      <c r="E85">
        <v>2</v>
      </c>
      <c r="F85" s="2">
        <v>0</v>
      </c>
      <c r="G85" s="2" t="str">
        <f>_xlfn.XLOOKUP(D85,Products!$A$2:$A$11,Products!$B$2:$B$11)</f>
        <v>Keyboard</v>
      </c>
      <c r="H85" s="2" t="str">
        <f>_xlfn.XLOOKUP(D85,Products!$A$2:$A$11,Products!$C$2:$C$11)</f>
        <v>Electronics</v>
      </c>
      <c r="I85" s="3">
        <f>_xlfn.XLOOKUP(D85,Products!$A$2:$A$11,Products!$D$2:$D$11)</f>
        <v>45</v>
      </c>
      <c r="J85" s="3" t="str">
        <f>_xlfn.XLOOKUP(C85,Customers!$A$2:$A$101,Customers!$B$2:$B$101)</f>
        <v>Customer 089</v>
      </c>
      <c r="K85" s="3" t="str">
        <f>_xlfn.XLOOKUP(C85,Customers!$A$2:$A$101,Customers!$C$2:$C$101)</f>
        <v>Bristol</v>
      </c>
      <c r="L85" s="3" t="str">
        <f>_xlfn.XLOOKUP(C85,Customers!$A$2:$A$101,Customers!$D$2:$D$101)</f>
        <v>Consumer</v>
      </c>
      <c r="M85" s="3">
        <f t="shared" si="3"/>
        <v>90</v>
      </c>
      <c r="N85" s="3">
        <f>E85*_xlfn.XLOOKUP(D85,Products!$A$2:$A$11,Products!$E$2:$E$11)</f>
        <v>44</v>
      </c>
      <c r="O85" s="3">
        <f t="shared" si="2"/>
        <v>46</v>
      </c>
    </row>
    <row r="86" spans="1:15" x14ac:dyDescent="0.3">
      <c r="A86" t="s">
        <v>152</v>
      </c>
      <c r="B86" s="1">
        <v>45870</v>
      </c>
      <c r="C86" t="s">
        <v>123</v>
      </c>
      <c r="D86" t="s">
        <v>19</v>
      </c>
      <c r="E86">
        <v>5</v>
      </c>
      <c r="F86" s="2">
        <v>0.15</v>
      </c>
      <c r="G86" s="2" t="str">
        <f>_xlfn.XLOOKUP(D86,Products!$A$2:$A$11,Products!$B$2:$B$11)</f>
        <v>Backpack</v>
      </c>
      <c r="H86" s="2" t="str">
        <f>_xlfn.XLOOKUP(D86,Products!$A$2:$A$11,Products!$C$2:$C$11)</f>
        <v>Lifestyle</v>
      </c>
      <c r="I86" s="3">
        <f>_xlfn.XLOOKUP(D86,Products!$A$2:$A$11,Products!$D$2:$D$11)</f>
        <v>55</v>
      </c>
      <c r="J86" s="3" t="str">
        <f>_xlfn.XLOOKUP(C86,Customers!$A$2:$A$101,Customers!$B$2:$B$101)</f>
        <v>Customer 053</v>
      </c>
      <c r="K86" s="3" t="str">
        <f>_xlfn.XLOOKUP(C86,Customers!$A$2:$A$101,Customers!$C$2:$C$101)</f>
        <v>Sheffield</v>
      </c>
      <c r="L86" s="3" t="str">
        <f>_xlfn.XLOOKUP(C86,Customers!$A$2:$A$101,Customers!$D$2:$D$101)</f>
        <v>Small Business</v>
      </c>
      <c r="M86" s="3">
        <f t="shared" si="3"/>
        <v>233.75</v>
      </c>
      <c r="N86" s="3">
        <f>E86*_xlfn.XLOOKUP(D86,Products!$A$2:$A$11,Products!$E$2:$E$11)</f>
        <v>135</v>
      </c>
      <c r="O86" s="3">
        <f t="shared" si="2"/>
        <v>98.75</v>
      </c>
    </row>
    <row r="87" spans="1:15" x14ac:dyDescent="0.3">
      <c r="A87" t="s">
        <v>153</v>
      </c>
      <c r="B87" s="1">
        <v>45870</v>
      </c>
      <c r="C87" t="s">
        <v>154</v>
      </c>
      <c r="D87" t="s">
        <v>22</v>
      </c>
      <c r="E87">
        <v>4</v>
      </c>
      <c r="F87" s="2">
        <v>0.15</v>
      </c>
      <c r="G87" s="2" t="str">
        <f>_xlfn.XLOOKUP(D87,Products!$A$2:$A$11,Products!$B$2:$B$11)</f>
        <v>Desk Lamp</v>
      </c>
      <c r="H87" s="2" t="str">
        <f>_xlfn.XLOOKUP(D87,Products!$A$2:$A$11,Products!$C$2:$C$11)</f>
        <v>Office</v>
      </c>
      <c r="I87" s="3">
        <f>_xlfn.XLOOKUP(D87,Products!$A$2:$A$11,Products!$D$2:$D$11)</f>
        <v>30</v>
      </c>
      <c r="J87" s="3" t="str">
        <f>_xlfn.XLOOKUP(C87,Customers!$A$2:$A$101,Customers!$B$2:$B$101)</f>
        <v>Customer 008</v>
      </c>
      <c r="K87" s="3" t="str">
        <f>_xlfn.XLOOKUP(C87,Customers!$A$2:$A$101,Customers!$C$2:$C$101)</f>
        <v>Bristol</v>
      </c>
      <c r="L87" s="3" t="str">
        <f>_xlfn.XLOOKUP(C87,Customers!$A$2:$A$101,Customers!$D$2:$D$101)</f>
        <v>Small Business</v>
      </c>
      <c r="M87" s="3">
        <f t="shared" si="3"/>
        <v>102</v>
      </c>
      <c r="N87" s="3">
        <f>E87*_xlfn.XLOOKUP(D87,Products!$A$2:$A$11,Products!$E$2:$E$11)</f>
        <v>60</v>
      </c>
      <c r="O87" s="3">
        <f t="shared" si="2"/>
        <v>42</v>
      </c>
    </row>
    <row r="88" spans="1:15" x14ac:dyDescent="0.3">
      <c r="A88" t="s">
        <v>155</v>
      </c>
      <c r="B88" s="1">
        <v>45957</v>
      </c>
      <c r="C88" t="s">
        <v>156</v>
      </c>
      <c r="D88" t="s">
        <v>27</v>
      </c>
      <c r="E88">
        <v>5</v>
      </c>
      <c r="F88" s="2">
        <v>0.15</v>
      </c>
      <c r="G88" s="2" t="str">
        <f>_xlfn.XLOOKUP(D88,Products!$A$2:$A$11,Products!$B$2:$B$11)</f>
        <v>Laptop Stand</v>
      </c>
      <c r="H88" s="2" t="str">
        <f>_xlfn.XLOOKUP(D88,Products!$A$2:$A$11,Products!$C$2:$C$11)</f>
        <v>Office</v>
      </c>
      <c r="I88" s="3">
        <f>_xlfn.XLOOKUP(D88,Products!$A$2:$A$11,Products!$D$2:$D$11)</f>
        <v>35</v>
      </c>
      <c r="J88" s="3" t="str">
        <f>_xlfn.XLOOKUP(C88,Customers!$A$2:$A$101,Customers!$B$2:$B$101)</f>
        <v>Customer 090</v>
      </c>
      <c r="K88" s="3" t="str">
        <f>_xlfn.XLOOKUP(C88,Customers!$A$2:$A$101,Customers!$C$2:$C$101)</f>
        <v>Bristol</v>
      </c>
      <c r="L88" s="3" t="str">
        <f>_xlfn.XLOOKUP(C88,Customers!$A$2:$A$101,Customers!$D$2:$D$101)</f>
        <v>Consumer</v>
      </c>
      <c r="M88" s="3">
        <f t="shared" si="3"/>
        <v>148.75</v>
      </c>
      <c r="N88" s="3">
        <f>E88*_xlfn.XLOOKUP(D88,Products!$A$2:$A$11,Products!$E$2:$E$11)</f>
        <v>100</v>
      </c>
      <c r="O88" s="3">
        <f t="shared" si="2"/>
        <v>48.75</v>
      </c>
    </row>
    <row r="89" spans="1:15" x14ac:dyDescent="0.3">
      <c r="A89" t="s">
        <v>157</v>
      </c>
      <c r="B89" s="1">
        <v>45902</v>
      </c>
      <c r="C89" t="s">
        <v>92</v>
      </c>
      <c r="D89" t="s">
        <v>19</v>
      </c>
      <c r="E89">
        <v>3</v>
      </c>
      <c r="F89" s="2">
        <v>0.15</v>
      </c>
      <c r="G89" s="2" t="str">
        <f>_xlfn.XLOOKUP(D89,Products!$A$2:$A$11,Products!$B$2:$B$11)</f>
        <v>Backpack</v>
      </c>
      <c r="H89" s="2" t="str">
        <f>_xlfn.XLOOKUP(D89,Products!$A$2:$A$11,Products!$C$2:$C$11)</f>
        <v>Lifestyle</v>
      </c>
      <c r="I89" s="3">
        <f>_xlfn.XLOOKUP(D89,Products!$A$2:$A$11,Products!$D$2:$D$11)</f>
        <v>55</v>
      </c>
      <c r="J89" s="3" t="str">
        <f>_xlfn.XLOOKUP(C89,Customers!$A$2:$A$101,Customers!$B$2:$B$101)</f>
        <v>Customer 001</v>
      </c>
      <c r="K89" s="3" t="str">
        <f>_xlfn.XLOOKUP(C89,Customers!$A$2:$A$101,Customers!$C$2:$C$101)</f>
        <v>Sheffield</v>
      </c>
      <c r="L89" s="3" t="str">
        <f>_xlfn.XLOOKUP(C89,Customers!$A$2:$A$101,Customers!$D$2:$D$101)</f>
        <v>Consumer</v>
      </c>
      <c r="M89" s="3">
        <f t="shared" si="3"/>
        <v>140.25</v>
      </c>
      <c r="N89" s="3">
        <f>E89*_xlfn.XLOOKUP(D89,Products!$A$2:$A$11,Products!$E$2:$E$11)</f>
        <v>81</v>
      </c>
      <c r="O89" s="3">
        <f t="shared" si="2"/>
        <v>59.25</v>
      </c>
    </row>
    <row r="90" spans="1:15" x14ac:dyDescent="0.3">
      <c r="A90" t="s">
        <v>158</v>
      </c>
      <c r="B90" s="1">
        <v>45872</v>
      </c>
      <c r="C90" t="s">
        <v>78</v>
      </c>
      <c r="D90" t="s">
        <v>11</v>
      </c>
      <c r="E90">
        <v>5</v>
      </c>
      <c r="F90" s="2">
        <v>0.05</v>
      </c>
      <c r="G90" s="2" t="str">
        <f>_xlfn.XLOOKUP(D90,Products!$A$2:$A$11,Products!$B$2:$B$11)</f>
        <v>Office Chair</v>
      </c>
      <c r="H90" s="2" t="str">
        <f>_xlfn.XLOOKUP(D90,Products!$A$2:$A$11,Products!$C$2:$C$11)</f>
        <v>Office</v>
      </c>
      <c r="I90" s="3">
        <f>_xlfn.XLOOKUP(D90,Products!$A$2:$A$11,Products!$D$2:$D$11)</f>
        <v>180</v>
      </c>
      <c r="J90" s="3" t="str">
        <f>_xlfn.XLOOKUP(C90,Customers!$A$2:$A$101,Customers!$B$2:$B$101)</f>
        <v>Customer 069</v>
      </c>
      <c r="K90" s="3" t="str">
        <f>_xlfn.XLOOKUP(C90,Customers!$A$2:$A$101,Customers!$C$2:$C$101)</f>
        <v>Birmingham</v>
      </c>
      <c r="L90" s="3" t="str">
        <f>_xlfn.XLOOKUP(C90,Customers!$A$2:$A$101,Customers!$D$2:$D$101)</f>
        <v>Consumer</v>
      </c>
      <c r="M90" s="3">
        <f t="shared" si="3"/>
        <v>855</v>
      </c>
      <c r="N90" s="3">
        <f>E90*_xlfn.XLOOKUP(D90,Products!$A$2:$A$11,Products!$E$2:$E$11)</f>
        <v>525</v>
      </c>
      <c r="O90" s="3">
        <f t="shared" si="2"/>
        <v>330</v>
      </c>
    </row>
    <row r="91" spans="1:15" x14ac:dyDescent="0.3">
      <c r="A91" t="s">
        <v>159</v>
      </c>
      <c r="B91" s="1">
        <v>45907</v>
      </c>
      <c r="C91" t="s">
        <v>106</v>
      </c>
      <c r="D91" t="s">
        <v>60</v>
      </c>
      <c r="E91">
        <v>4</v>
      </c>
      <c r="F91" s="2">
        <v>0.15</v>
      </c>
      <c r="G91" s="2" t="str">
        <f>_xlfn.XLOOKUP(D91,Products!$A$2:$A$11,Products!$B$2:$B$11)</f>
        <v>Water Bottle</v>
      </c>
      <c r="H91" s="2" t="str">
        <f>_xlfn.XLOOKUP(D91,Products!$A$2:$A$11,Products!$C$2:$C$11)</f>
        <v>Lifestyle</v>
      </c>
      <c r="I91" s="3">
        <f>_xlfn.XLOOKUP(D91,Products!$A$2:$A$11,Products!$D$2:$D$11)</f>
        <v>18</v>
      </c>
      <c r="J91" s="3" t="str">
        <f>_xlfn.XLOOKUP(C91,Customers!$A$2:$A$101,Customers!$B$2:$B$101)</f>
        <v>Customer 029</v>
      </c>
      <c r="K91" s="3" t="str">
        <f>_xlfn.XLOOKUP(C91,Customers!$A$2:$A$101,Customers!$C$2:$C$101)</f>
        <v>London</v>
      </c>
      <c r="L91" s="3" t="str">
        <f>_xlfn.XLOOKUP(C91,Customers!$A$2:$A$101,Customers!$D$2:$D$101)</f>
        <v>Small Business</v>
      </c>
      <c r="M91" s="3">
        <f t="shared" si="3"/>
        <v>61.199999999999996</v>
      </c>
      <c r="N91" s="3">
        <f>E91*_xlfn.XLOOKUP(D91,Products!$A$2:$A$11,Products!$E$2:$E$11)</f>
        <v>28</v>
      </c>
      <c r="O91" s="3">
        <f t="shared" si="2"/>
        <v>33.199999999999996</v>
      </c>
    </row>
    <row r="92" spans="1:15" x14ac:dyDescent="0.3">
      <c r="A92" t="s">
        <v>160</v>
      </c>
      <c r="B92" s="1">
        <v>45672</v>
      </c>
      <c r="C92" t="s">
        <v>161</v>
      </c>
      <c r="D92" t="s">
        <v>19</v>
      </c>
      <c r="E92">
        <v>4</v>
      </c>
      <c r="F92" s="2">
        <v>0.05</v>
      </c>
      <c r="G92" s="2" t="str">
        <f>_xlfn.XLOOKUP(D92,Products!$A$2:$A$11,Products!$B$2:$B$11)</f>
        <v>Backpack</v>
      </c>
      <c r="H92" s="2" t="str">
        <f>_xlfn.XLOOKUP(D92,Products!$A$2:$A$11,Products!$C$2:$C$11)</f>
        <v>Lifestyle</v>
      </c>
      <c r="I92" s="3">
        <f>_xlfn.XLOOKUP(D92,Products!$A$2:$A$11,Products!$D$2:$D$11)</f>
        <v>55</v>
      </c>
      <c r="J92" s="3" t="str">
        <f>_xlfn.XLOOKUP(C92,Customers!$A$2:$A$101,Customers!$B$2:$B$101)</f>
        <v>Customer 050</v>
      </c>
      <c r="K92" s="3" t="str">
        <f>_xlfn.XLOOKUP(C92,Customers!$A$2:$A$101,Customers!$C$2:$C$101)</f>
        <v>Leeds</v>
      </c>
      <c r="L92" s="3" t="str">
        <f>_xlfn.XLOOKUP(C92,Customers!$A$2:$A$101,Customers!$D$2:$D$101)</f>
        <v>Small Business</v>
      </c>
      <c r="M92" s="3">
        <f t="shared" si="3"/>
        <v>209</v>
      </c>
      <c r="N92" s="3">
        <f>E92*_xlfn.XLOOKUP(D92,Products!$A$2:$A$11,Products!$E$2:$E$11)</f>
        <v>108</v>
      </c>
      <c r="O92" s="3">
        <f t="shared" si="2"/>
        <v>101</v>
      </c>
    </row>
    <row r="93" spans="1:15" x14ac:dyDescent="0.3">
      <c r="A93" t="s">
        <v>162</v>
      </c>
      <c r="B93" s="1">
        <v>45897</v>
      </c>
      <c r="C93" t="s">
        <v>74</v>
      </c>
      <c r="D93" t="s">
        <v>8</v>
      </c>
      <c r="E93">
        <v>5</v>
      </c>
      <c r="F93" s="2">
        <v>0</v>
      </c>
      <c r="G93" s="2" t="str">
        <f>_xlfn.XLOOKUP(D93,Products!$A$2:$A$11,Products!$B$2:$B$11)</f>
        <v>USB-C Hub</v>
      </c>
      <c r="H93" s="2" t="str">
        <f>_xlfn.XLOOKUP(D93,Products!$A$2:$A$11,Products!$C$2:$C$11)</f>
        <v>Electronics</v>
      </c>
      <c r="I93" s="3">
        <f>_xlfn.XLOOKUP(D93,Products!$A$2:$A$11,Products!$D$2:$D$11)</f>
        <v>40</v>
      </c>
      <c r="J93" s="3" t="str">
        <f>_xlfn.XLOOKUP(C93,Customers!$A$2:$A$101,Customers!$B$2:$B$101)</f>
        <v>Customer 017</v>
      </c>
      <c r="K93" s="3" t="str">
        <f>_xlfn.XLOOKUP(C93,Customers!$A$2:$A$101,Customers!$C$2:$C$101)</f>
        <v>Leeds</v>
      </c>
      <c r="L93" s="3" t="str">
        <f>_xlfn.XLOOKUP(C93,Customers!$A$2:$A$101,Customers!$D$2:$D$101)</f>
        <v>Corporate</v>
      </c>
      <c r="M93" s="3">
        <f t="shared" si="3"/>
        <v>200</v>
      </c>
      <c r="N93" s="3">
        <f>E93*_xlfn.XLOOKUP(D93,Products!$A$2:$A$11,Products!$E$2:$E$11)</f>
        <v>95</v>
      </c>
      <c r="O93" s="3">
        <f t="shared" si="2"/>
        <v>105</v>
      </c>
    </row>
    <row r="94" spans="1:15" x14ac:dyDescent="0.3">
      <c r="A94" t="s">
        <v>163</v>
      </c>
      <c r="B94" s="1">
        <v>45859</v>
      </c>
      <c r="C94" t="s">
        <v>24</v>
      </c>
      <c r="D94" t="s">
        <v>8</v>
      </c>
      <c r="E94">
        <v>1</v>
      </c>
      <c r="F94" s="2">
        <v>0</v>
      </c>
      <c r="G94" s="2" t="str">
        <f>_xlfn.XLOOKUP(D94,Products!$A$2:$A$11,Products!$B$2:$B$11)</f>
        <v>USB-C Hub</v>
      </c>
      <c r="H94" s="2" t="str">
        <f>_xlfn.XLOOKUP(D94,Products!$A$2:$A$11,Products!$C$2:$C$11)</f>
        <v>Electronics</v>
      </c>
      <c r="I94" s="3">
        <f>_xlfn.XLOOKUP(D94,Products!$A$2:$A$11,Products!$D$2:$D$11)</f>
        <v>40</v>
      </c>
      <c r="J94" s="3" t="str">
        <f>_xlfn.XLOOKUP(C94,Customers!$A$2:$A$101,Customers!$B$2:$B$101)</f>
        <v>Customer 076</v>
      </c>
      <c r="K94" s="3" t="str">
        <f>_xlfn.XLOOKUP(C94,Customers!$A$2:$A$101,Customers!$C$2:$C$101)</f>
        <v>London</v>
      </c>
      <c r="L94" s="3" t="str">
        <f>_xlfn.XLOOKUP(C94,Customers!$A$2:$A$101,Customers!$D$2:$D$101)</f>
        <v>Small Business</v>
      </c>
      <c r="M94" s="3">
        <f t="shared" si="3"/>
        <v>40</v>
      </c>
      <c r="N94" s="3">
        <f>E94*_xlfn.XLOOKUP(D94,Products!$A$2:$A$11,Products!$E$2:$E$11)</f>
        <v>19</v>
      </c>
      <c r="O94" s="3">
        <f t="shared" si="2"/>
        <v>21</v>
      </c>
    </row>
    <row r="95" spans="1:15" x14ac:dyDescent="0.3">
      <c r="A95" t="s">
        <v>164</v>
      </c>
      <c r="B95" s="1">
        <v>45987</v>
      </c>
      <c r="C95" t="s">
        <v>39</v>
      </c>
      <c r="D95" t="s">
        <v>46</v>
      </c>
      <c r="E95">
        <v>4</v>
      </c>
      <c r="F95" s="2">
        <v>0.05</v>
      </c>
      <c r="G95" s="2" t="str">
        <f>_xlfn.XLOOKUP(D95,Products!$A$2:$A$11,Products!$B$2:$B$11)</f>
        <v>Keyboard</v>
      </c>
      <c r="H95" s="2" t="str">
        <f>_xlfn.XLOOKUP(D95,Products!$A$2:$A$11,Products!$C$2:$C$11)</f>
        <v>Electronics</v>
      </c>
      <c r="I95" s="3">
        <f>_xlfn.XLOOKUP(D95,Products!$A$2:$A$11,Products!$D$2:$D$11)</f>
        <v>45</v>
      </c>
      <c r="J95" s="3" t="str">
        <f>_xlfn.XLOOKUP(C95,Customers!$A$2:$A$101,Customers!$B$2:$B$101)</f>
        <v>Customer 055</v>
      </c>
      <c r="K95" s="3" t="str">
        <f>_xlfn.XLOOKUP(C95,Customers!$A$2:$A$101,Customers!$C$2:$C$101)</f>
        <v>London</v>
      </c>
      <c r="L95" s="3" t="str">
        <f>_xlfn.XLOOKUP(C95,Customers!$A$2:$A$101,Customers!$D$2:$D$101)</f>
        <v>Small Business</v>
      </c>
      <c r="M95" s="3">
        <f t="shared" si="3"/>
        <v>171</v>
      </c>
      <c r="N95" s="3">
        <f>E95*_xlfn.XLOOKUP(D95,Products!$A$2:$A$11,Products!$E$2:$E$11)</f>
        <v>88</v>
      </c>
      <c r="O95" s="3">
        <f t="shared" si="2"/>
        <v>83</v>
      </c>
    </row>
    <row r="96" spans="1:15" x14ac:dyDescent="0.3">
      <c r="A96" t="s">
        <v>165</v>
      </c>
      <c r="B96" s="1">
        <v>45683</v>
      </c>
      <c r="C96" t="s">
        <v>166</v>
      </c>
      <c r="D96" t="s">
        <v>16</v>
      </c>
      <c r="E96">
        <v>3</v>
      </c>
      <c r="F96" s="2">
        <v>0.05</v>
      </c>
      <c r="G96" s="2" t="str">
        <f>_xlfn.XLOOKUP(D96,Products!$A$2:$A$11,Products!$B$2:$B$11)</f>
        <v>Headphones</v>
      </c>
      <c r="H96" s="2" t="str">
        <f>_xlfn.XLOOKUP(D96,Products!$A$2:$A$11,Products!$C$2:$C$11)</f>
        <v>Electronics</v>
      </c>
      <c r="I96" s="3">
        <f>_xlfn.XLOOKUP(D96,Products!$A$2:$A$11,Products!$D$2:$D$11)</f>
        <v>75</v>
      </c>
      <c r="J96" s="3" t="str">
        <f>_xlfn.XLOOKUP(C96,Customers!$A$2:$A$101,Customers!$B$2:$B$101)</f>
        <v>Customer 034</v>
      </c>
      <c r="K96" s="3" t="str">
        <f>_xlfn.XLOOKUP(C96,Customers!$A$2:$A$101,Customers!$C$2:$C$101)</f>
        <v>Sheffield</v>
      </c>
      <c r="L96" s="3" t="str">
        <f>_xlfn.XLOOKUP(C96,Customers!$A$2:$A$101,Customers!$D$2:$D$101)</f>
        <v>Consumer</v>
      </c>
      <c r="M96" s="3">
        <f t="shared" si="3"/>
        <v>213.75</v>
      </c>
      <c r="N96" s="3">
        <f>E96*_xlfn.XLOOKUP(D96,Products!$A$2:$A$11,Products!$E$2:$E$11)</f>
        <v>120</v>
      </c>
      <c r="O96" s="3">
        <f t="shared" si="2"/>
        <v>93.75</v>
      </c>
    </row>
    <row r="97" spans="1:15" x14ac:dyDescent="0.3">
      <c r="A97" t="s">
        <v>167</v>
      </c>
      <c r="B97" s="1">
        <v>45890</v>
      </c>
      <c r="C97" t="s">
        <v>168</v>
      </c>
      <c r="D97" t="s">
        <v>19</v>
      </c>
      <c r="E97">
        <v>4</v>
      </c>
      <c r="F97" s="2">
        <v>0.1</v>
      </c>
      <c r="G97" s="2" t="str">
        <f>_xlfn.XLOOKUP(D97,Products!$A$2:$A$11,Products!$B$2:$B$11)</f>
        <v>Backpack</v>
      </c>
      <c r="H97" s="2" t="str">
        <f>_xlfn.XLOOKUP(D97,Products!$A$2:$A$11,Products!$C$2:$C$11)</f>
        <v>Lifestyle</v>
      </c>
      <c r="I97" s="3">
        <f>_xlfn.XLOOKUP(D97,Products!$A$2:$A$11,Products!$D$2:$D$11)</f>
        <v>55</v>
      </c>
      <c r="J97" s="3" t="str">
        <f>_xlfn.XLOOKUP(C97,Customers!$A$2:$A$101,Customers!$B$2:$B$101)</f>
        <v>Customer 042</v>
      </c>
      <c r="K97" s="3" t="str">
        <f>_xlfn.XLOOKUP(C97,Customers!$A$2:$A$101,Customers!$C$2:$C$101)</f>
        <v>Birmingham</v>
      </c>
      <c r="L97" s="3" t="str">
        <f>_xlfn.XLOOKUP(C97,Customers!$A$2:$A$101,Customers!$D$2:$D$101)</f>
        <v>Consumer</v>
      </c>
      <c r="M97" s="3">
        <f t="shared" si="3"/>
        <v>198</v>
      </c>
      <c r="N97" s="3">
        <f>E97*_xlfn.XLOOKUP(D97,Products!$A$2:$A$11,Products!$E$2:$E$11)</f>
        <v>108</v>
      </c>
      <c r="O97" s="3">
        <f t="shared" si="2"/>
        <v>90</v>
      </c>
    </row>
    <row r="98" spans="1:15" x14ac:dyDescent="0.3">
      <c r="A98" t="s">
        <v>169</v>
      </c>
      <c r="B98" s="1">
        <v>45873</v>
      </c>
      <c r="C98" t="s">
        <v>170</v>
      </c>
      <c r="D98" t="s">
        <v>30</v>
      </c>
      <c r="E98">
        <v>4</v>
      </c>
      <c r="F98" s="2">
        <v>0</v>
      </c>
      <c r="G98" s="2" t="str">
        <f>_xlfn.XLOOKUP(D98,Products!$A$2:$A$11,Products!$B$2:$B$11)</f>
        <v>Wireless Mouse</v>
      </c>
      <c r="H98" s="2" t="str">
        <f>_xlfn.XLOOKUP(D98,Products!$A$2:$A$11,Products!$C$2:$C$11)</f>
        <v>Electronics</v>
      </c>
      <c r="I98" s="3">
        <f>_xlfn.XLOOKUP(D98,Products!$A$2:$A$11,Products!$D$2:$D$11)</f>
        <v>25</v>
      </c>
      <c r="J98" s="3" t="str">
        <f>_xlfn.XLOOKUP(C98,Customers!$A$2:$A$101,Customers!$B$2:$B$101)</f>
        <v>Customer 033</v>
      </c>
      <c r="K98" s="3" t="str">
        <f>_xlfn.XLOOKUP(C98,Customers!$A$2:$A$101,Customers!$C$2:$C$101)</f>
        <v>Bristol</v>
      </c>
      <c r="L98" s="3" t="str">
        <f>_xlfn.XLOOKUP(C98,Customers!$A$2:$A$101,Customers!$D$2:$D$101)</f>
        <v>Consumer</v>
      </c>
      <c r="M98" s="3">
        <f t="shared" si="3"/>
        <v>100</v>
      </c>
      <c r="N98" s="3">
        <f>E98*_xlfn.XLOOKUP(D98,Products!$A$2:$A$11,Products!$E$2:$E$11)</f>
        <v>48</v>
      </c>
      <c r="O98" s="3">
        <f t="shared" si="2"/>
        <v>52</v>
      </c>
    </row>
    <row r="99" spans="1:15" x14ac:dyDescent="0.3">
      <c r="A99" t="s">
        <v>171</v>
      </c>
      <c r="B99" s="1">
        <v>45934</v>
      </c>
      <c r="C99" t="s">
        <v>64</v>
      </c>
      <c r="D99" t="s">
        <v>19</v>
      </c>
      <c r="E99">
        <v>2</v>
      </c>
      <c r="F99" s="2">
        <v>0</v>
      </c>
      <c r="G99" s="2" t="str">
        <f>_xlfn.XLOOKUP(D99,Products!$A$2:$A$11,Products!$B$2:$B$11)</f>
        <v>Backpack</v>
      </c>
      <c r="H99" s="2" t="str">
        <f>_xlfn.XLOOKUP(D99,Products!$A$2:$A$11,Products!$C$2:$C$11)</f>
        <v>Lifestyle</v>
      </c>
      <c r="I99" s="3">
        <f>_xlfn.XLOOKUP(D99,Products!$A$2:$A$11,Products!$D$2:$D$11)</f>
        <v>55</v>
      </c>
      <c r="J99" s="3" t="str">
        <f>_xlfn.XLOOKUP(C99,Customers!$A$2:$A$101,Customers!$B$2:$B$101)</f>
        <v>Customer 007</v>
      </c>
      <c r="K99" s="3" t="str">
        <f>_xlfn.XLOOKUP(C99,Customers!$A$2:$A$101,Customers!$C$2:$C$101)</f>
        <v>Bristol</v>
      </c>
      <c r="L99" s="3" t="str">
        <f>_xlfn.XLOOKUP(C99,Customers!$A$2:$A$101,Customers!$D$2:$D$101)</f>
        <v>Consumer</v>
      </c>
      <c r="M99" s="3">
        <f t="shared" si="3"/>
        <v>110</v>
      </c>
      <c r="N99" s="3">
        <f>E99*_xlfn.XLOOKUP(D99,Products!$A$2:$A$11,Products!$E$2:$E$11)</f>
        <v>54</v>
      </c>
      <c r="O99" s="3">
        <f t="shared" si="2"/>
        <v>56</v>
      </c>
    </row>
    <row r="100" spans="1:15" x14ac:dyDescent="0.3">
      <c r="A100" t="s">
        <v>172</v>
      </c>
      <c r="B100" s="1">
        <v>45991</v>
      </c>
      <c r="C100" t="s">
        <v>173</v>
      </c>
      <c r="D100" t="s">
        <v>27</v>
      </c>
      <c r="E100">
        <v>2</v>
      </c>
      <c r="F100" s="2">
        <v>0.05</v>
      </c>
      <c r="G100" s="2" t="str">
        <f>_xlfn.XLOOKUP(D100,Products!$A$2:$A$11,Products!$B$2:$B$11)</f>
        <v>Laptop Stand</v>
      </c>
      <c r="H100" s="2" t="str">
        <f>_xlfn.XLOOKUP(D100,Products!$A$2:$A$11,Products!$C$2:$C$11)</f>
        <v>Office</v>
      </c>
      <c r="I100" s="3">
        <f>_xlfn.XLOOKUP(D100,Products!$A$2:$A$11,Products!$D$2:$D$11)</f>
        <v>35</v>
      </c>
      <c r="J100" s="3" t="str">
        <f>_xlfn.XLOOKUP(C100,Customers!$A$2:$A$101,Customers!$B$2:$B$101)</f>
        <v>Customer 006</v>
      </c>
      <c r="K100" s="3" t="str">
        <f>_xlfn.XLOOKUP(C100,Customers!$A$2:$A$101,Customers!$C$2:$C$101)</f>
        <v>Sheffield</v>
      </c>
      <c r="L100" s="3" t="str">
        <f>_xlfn.XLOOKUP(C100,Customers!$A$2:$A$101,Customers!$D$2:$D$101)</f>
        <v>Corporate</v>
      </c>
      <c r="M100" s="3">
        <f t="shared" si="3"/>
        <v>66.5</v>
      </c>
      <c r="N100" s="3">
        <f>E100*_xlfn.XLOOKUP(D100,Products!$A$2:$A$11,Products!$E$2:$E$11)</f>
        <v>40</v>
      </c>
      <c r="O100" s="3">
        <f t="shared" si="2"/>
        <v>26.5</v>
      </c>
    </row>
    <row r="101" spans="1:15" x14ac:dyDescent="0.3">
      <c r="A101" t="s">
        <v>174</v>
      </c>
      <c r="B101" s="1">
        <v>45668</v>
      </c>
      <c r="C101" t="s">
        <v>175</v>
      </c>
      <c r="D101" t="s">
        <v>46</v>
      </c>
      <c r="E101">
        <v>2</v>
      </c>
      <c r="F101" s="2">
        <v>0.05</v>
      </c>
      <c r="G101" s="2" t="str">
        <f>_xlfn.XLOOKUP(D101,Products!$A$2:$A$11,Products!$B$2:$B$11)</f>
        <v>Keyboard</v>
      </c>
      <c r="H101" s="2" t="str">
        <f>_xlfn.XLOOKUP(D101,Products!$A$2:$A$11,Products!$C$2:$C$11)</f>
        <v>Electronics</v>
      </c>
      <c r="I101" s="3">
        <f>_xlfn.XLOOKUP(D101,Products!$A$2:$A$11,Products!$D$2:$D$11)</f>
        <v>45</v>
      </c>
      <c r="J101" s="3" t="str">
        <f>_xlfn.XLOOKUP(C101,Customers!$A$2:$A$101,Customers!$B$2:$B$101)</f>
        <v>Customer 080</v>
      </c>
      <c r="K101" s="3" t="str">
        <f>_xlfn.XLOOKUP(C101,Customers!$A$2:$A$101,Customers!$C$2:$C$101)</f>
        <v>London</v>
      </c>
      <c r="L101" s="3" t="str">
        <f>_xlfn.XLOOKUP(C101,Customers!$A$2:$A$101,Customers!$D$2:$D$101)</f>
        <v>Corporate</v>
      </c>
      <c r="M101" s="3">
        <f t="shared" si="3"/>
        <v>85.5</v>
      </c>
      <c r="N101" s="3">
        <f>E101*_xlfn.XLOOKUP(D101,Products!$A$2:$A$11,Products!$E$2:$E$11)</f>
        <v>44</v>
      </c>
      <c r="O101" s="3">
        <f t="shared" si="2"/>
        <v>41.5</v>
      </c>
    </row>
    <row r="102" spans="1:15" x14ac:dyDescent="0.3">
      <c r="A102" t="s">
        <v>176</v>
      </c>
      <c r="B102" s="1">
        <v>45900</v>
      </c>
      <c r="C102" t="s">
        <v>32</v>
      </c>
      <c r="D102" t="s">
        <v>30</v>
      </c>
      <c r="E102">
        <v>5</v>
      </c>
      <c r="F102" s="2">
        <v>0.05</v>
      </c>
      <c r="G102" s="2" t="str">
        <f>_xlfn.XLOOKUP(D102,Products!$A$2:$A$11,Products!$B$2:$B$11)</f>
        <v>Wireless Mouse</v>
      </c>
      <c r="H102" s="2" t="str">
        <f>_xlfn.XLOOKUP(D102,Products!$A$2:$A$11,Products!$C$2:$C$11)</f>
        <v>Electronics</v>
      </c>
      <c r="I102" s="3">
        <f>_xlfn.XLOOKUP(D102,Products!$A$2:$A$11,Products!$D$2:$D$11)</f>
        <v>25</v>
      </c>
      <c r="J102" s="3" t="str">
        <f>_xlfn.XLOOKUP(C102,Customers!$A$2:$A$101,Customers!$B$2:$B$101)</f>
        <v>Customer 086</v>
      </c>
      <c r="K102" s="3" t="str">
        <f>_xlfn.XLOOKUP(C102,Customers!$A$2:$A$101,Customers!$C$2:$C$101)</f>
        <v>Manchester</v>
      </c>
      <c r="L102" s="3" t="str">
        <f>_xlfn.XLOOKUP(C102,Customers!$A$2:$A$101,Customers!$D$2:$D$101)</f>
        <v>Small Business</v>
      </c>
      <c r="M102" s="3">
        <f t="shared" si="3"/>
        <v>118.75</v>
      </c>
      <c r="N102" s="3">
        <f>E102*_xlfn.XLOOKUP(D102,Products!$A$2:$A$11,Products!$E$2:$E$11)</f>
        <v>60</v>
      </c>
      <c r="O102" s="3">
        <f t="shared" si="2"/>
        <v>58.75</v>
      </c>
    </row>
    <row r="103" spans="1:15" x14ac:dyDescent="0.3">
      <c r="A103" t="s">
        <v>177</v>
      </c>
      <c r="B103" s="1">
        <v>45896</v>
      </c>
      <c r="C103" t="s">
        <v>156</v>
      </c>
      <c r="D103" t="s">
        <v>60</v>
      </c>
      <c r="E103">
        <v>3</v>
      </c>
      <c r="F103" s="2">
        <v>0.05</v>
      </c>
      <c r="G103" s="2" t="str">
        <f>_xlfn.XLOOKUP(D103,Products!$A$2:$A$11,Products!$B$2:$B$11)</f>
        <v>Water Bottle</v>
      </c>
      <c r="H103" s="2" t="str">
        <f>_xlfn.XLOOKUP(D103,Products!$A$2:$A$11,Products!$C$2:$C$11)</f>
        <v>Lifestyle</v>
      </c>
      <c r="I103" s="3">
        <f>_xlfn.XLOOKUP(D103,Products!$A$2:$A$11,Products!$D$2:$D$11)</f>
        <v>18</v>
      </c>
      <c r="J103" s="3" t="str">
        <f>_xlfn.XLOOKUP(C103,Customers!$A$2:$A$101,Customers!$B$2:$B$101)</f>
        <v>Customer 090</v>
      </c>
      <c r="K103" s="3" t="str">
        <f>_xlfn.XLOOKUP(C103,Customers!$A$2:$A$101,Customers!$C$2:$C$101)</f>
        <v>Bristol</v>
      </c>
      <c r="L103" s="3" t="str">
        <f>_xlfn.XLOOKUP(C103,Customers!$A$2:$A$101,Customers!$D$2:$D$101)</f>
        <v>Consumer</v>
      </c>
      <c r="M103" s="3">
        <f t="shared" si="3"/>
        <v>51.3</v>
      </c>
      <c r="N103" s="3">
        <f>E103*_xlfn.XLOOKUP(D103,Products!$A$2:$A$11,Products!$E$2:$E$11)</f>
        <v>21</v>
      </c>
      <c r="O103" s="3">
        <f t="shared" si="2"/>
        <v>30.299999999999997</v>
      </c>
    </row>
    <row r="104" spans="1:15" x14ac:dyDescent="0.3">
      <c r="A104" t="s">
        <v>178</v>
      </c>
      <c r="B104" s="1">
        <v>45968</v>
      </c>
      <c r="C104" t="s">
        <v>15</v>
      </c>
      <c r="D104" t="s">
        <v>30</v>
      </c>
      <c r="E104">
        <v>2</v>
      </c>
      <c r="F104" s="2">
        <v>0.1</v>
      </c>
      <c r="G104" s="2" t="str">
        <f>_xlfn.XLOOKUP(D104,Products!$A$2:$A$11,Products!$B$2:$B$11)</f>
        <v>Wireless Mouse</v>
      </c>
      <c r="H104" s="2" t="str">
        <f>_xlfn.XLOOKUP(D104,Products!$A$2:$A$11,Products!$C$2:$C$11)</f>
        <v>Electronics</v>
      </c>
      <c r="I104" s="3">
        <f>_xlfn.XLOOKUP(D104,Products!$A$2:$A$11,Products!$D$2:$D$11)</f>
        <v>25</v>
      </c>
      <c r="J104" s="3" t="str">
        <f>_xlfn.XLOOKUP(C104,Customers!$A$2:$A$101,Customers!$B$2:$B$101)</f>
        <v>Customer 078</v>
      </c>
      <c r="K104" s="3" t="str">
        <f>_xlfn.XLOOKUP(C104,Customers!$A$2:$A$101,Customers!$C$2:$C$101)</f>
        <v>Leeds</v>
      </c>
      <c r="L104" s="3" t="str">
        <f>_xlfn.XLOOKUP(C104,Customers!$A$2:$A$101,Customers!$D$2:$D$101)</f>
        <v>Corporate</v>
      </c>
      <c r="M104" s="3">
        <f t="shared" si="3"/>
        <v>45</v>
      </c>
      <c r="N104" s="3">
        <f>E104*_xlfn.XLOOKUP(D104,Products!$A$2:$A$11,Products!$E$2:$E$11)</f>
        <v>24</v>
      </c>
      <c r="O104" s="3">
        <f t="shared" si="2"/>
        <v>21</v>
      </c>
    </row>
    <row r="105" spans="1:15" x14ac:dyDescent="0.3">
      <c r="A105" t="s">
        <v>179</v>
      </c>
      <c r="B105" s="1">
        <v>45713</v>
      </c>
      <c r="C105" t="s">
        <v>180</v>
      </c>
      <c r="D105" t="s">
        <v>27</v>
      </c>
      <c r="E105">
        <v>3</v>
      </c>
      <c r="F105" s="2">
        <v>0.15</v>
      </c>
      <c r="G105" s="2" t="str">
        <f>_xlfn.XLOOKUP(D105,Products!$A$2:$A$11,Products!$B$2:$B$11)</f>
        <v>Laptop Stand</v>
      </c>
      <c r="H105" s="2" t="str">
        <f>_xlfn.XLOOKUP(D105,Products!$A$2:$A$11,Products!$C$2:$C$11)</f>
        <v>Office</v>
      </c>
      <c r="I105" s="3">
        <f>_xlfn.XLOOKUP(D105,Products!$A$2:$A$11,Products!$D$2:$D$11)</f>
        <v>35</v>
      </c>
      <c r="J105" s="3" t="str">
        <f>_xlfn.XLOOKUP(C105,Customers!$A$2:$A$101,Customers!$B$2:$B$101)</f>
        <v>Customer 075</v>
      </c>
      <c r="K105" s="3" t="str">
        <f>_xlfn.XLOOKUP(C105,Customers!$A$2:$A$101,Customers!$C$2:$C$101)</f>
        <v>Leeds</v>
      </c>
      <c r="L105" s="3" t="str">
        <f>_xlfn.XLOOKUP(C105,Customers!$A$2:$A$101,Customers!$D$2:$D$101)</f>
        <v>Corporate</v>
      </c>
      <c r="M105" s="3">
        <f t="shared" si="3"/>
        <v>89.25</v>
      </c>
      <c r="N105" s="3">
        <f>E105*_xlfn.XLOOKUP(D105,Products!$A$2:$A$11,Products!$E$2:$E$11)</f>
        <v>60</v>
      </c>
      <c r="O105" s="3">
        <f t="shared" si="2"/>
        <v>29.25</v>
      </c>
    </row>
    <row r="106" spans="1:15" x14ac:dyDescent="0.3">
      <c r="A106" t="s">
        <v>181</v>
      </c>
      <c r="B106" s="1">
        <v>45861</v>
      </c>
      <c r="C106" t="s">
        <v>182</v>
      </c>
      <c r="D106" t="s">
        <v>22</v>
      </c>
      <c r="E106">
        <v>1</v>
      </c>
      <c r="F106" s="2">
        <v>0.05</v>
      </c>
      <c r="G106" s="2" t="str">
        <f>_xlfn.XLOOKUP(D106,Products!$A$2:$A$11,Products!$B$2:$B$11)</f>
        <v>Desk Lamp</v>
      </c>
      <c r="H106" s="2" t="str">
        <f>_xlfn.XLOOKUP(D106,Products!$A$2:$A$11,Products!$C$2:$C$11)</f>
        <v>Office</v>
      </c>
      <c r="I106" s="3">
        <f>_xlfn.XLOOKUP(D106,Products!$A$2:$A$11,Products!$D$2:$D$11)</f>
        <v>30</v>
      </c>
      <c r="J106" s="3" t="str">
        <f>_xlfn.XLOOKUP(C106,Customers!$A$2:$A$101,Customers!$B$2:$B$101)</f>
        <v>Customer 092</v>
      </c>
      <c r="K106" s="3" t="str">
        <f>_xlfn.XLOOKUP(C106,Customers!$A$2:$A$101,Customers!$C$2:$C$101)</f>
        <v>Sheffield</v>
      </c>
      <c r="L106" s="3" t="str">
        <f>_xlfn.XLOOKUP(C106,Customers!$A$2:$A$101,Customers!$D$2:$D$101)</f>
        <v>Corporate</v>
      </c>
      <c r="M106" s="3">
        <f t="shared" si="3"/>
        <v>28.5</v>
      </c>
      <c r="N106" s="3">
        <f>E106*_xlfn.XLOOKUP(D106,Products!$A$2:$A$11,Products!$E$2:$E$11)</f>
        <v>15</v>
      </c>
      <c r="O106" s="3">
        <f t="shared" si="2"/>
        <v>13.5</v>
      </c>
    </row>
    <row r="107" spans="1:15" x14ac:dyDescent="0.3">
      <c r="A107" t="s">
        <v>183</v>
      </c>
      <c r="B107" s="1">
        <v>45710</v>
      </c>
      <c r="C107" t="s">
        <v>156</v>
      </c>
      <c r="D107" t="s">
        <v>60</v>
      </c>
      <c r="E107">
        <v>5</v>
      </c>
      <c r="F107" s="2">
        <v>0</v>
      </c>
      <c r="G107" s="2" t="str">
        <f>_xlfn.XLOOKUP(D107,Products!$A$2:$A$11,Products!$B$2:$B$11)</f>
        <v>Water Bottle</v>
      </c>
      <c r="H107" s="2" t="str">
        <f>_xlfn.XLOOKUP(D107,Products!$A$2:$A$11,Products!$C$2:$C$11)</f>
        <v>Lifestyle</v>
      </c>
      <c r="I107" s="3">
        <f>_xlfn.XLOOKUP(D107,Products!$A$2:$A$11,Products!$D$2:$D$11)</f>
        <v>18</v>
      </c>
      <c r="J107" s="3" t="str">
        <f>_xlfn.XLOOKUP(C107,Customers!$A$2:$A$101,Customers!$B$2:$B$101)</f>
        <v>Customer 090</v>
      </c>
      <c r="K107" s="3" t="str">
        <f>_xlfn.XLOOKUP(C107,Customers!$A$2:$A$101,Customers!$C$2:$C$101)</f>
        <v>Bristol</v>
      </c>
      <c r="L107" s="3" t="str">
        <f>_xlfn.XLOOKUP(C107,Customers!$A$2:$A$101,Customers!$D$2:$D$101)</f>
        <v>Consumer</v>
      </c>
      <c r="M107" s="3">
        <f t="shared" si="3"/>
        <v>90</v>
      </c>
      <c r="N107" s="3">
        <f>E107*_xlfn.XLOOKUP(D107,Products!$A$2:$A$11,Products!$E$2:$E$11)</f>
        <v>35</v>
      </c>
      <c r="O107" s="3">
        <f t="shared" si="2"/>
        <v>55</v>
      </c>
    </row>
    <row r="108" spans="1:15" x14ac:dyDescent="0.3">
      <c r="A108" t="s">
        <v>184</v>
      </c>
      <c r="B108" s="1">
        <v>45947</v>
      </c>
      <c r="C108" t="s">
        <v>173</v>
      </c>
      <c r="D108" t="s">
        <v>19</v>
      </c>
      <c r="E108">
        <v>5</v>
      </c>
      <c r="F108" s="2">
        <v>0.15</v>
      </c>
      <c r="G108" s="2" t="str">
        <f>_xlfn.XLOOKUP(D108,Products!$A$2:$A$11,Products!$B$2:$B$11)</f>
        <v>Backpack</v>
      </c>
      <c r="H108" s="2" t="str">
        <f>_xlfn.XLOOKUP(D108,Products!$A$2:$A$11,Products!$C$2:$C$11)</f>
        <v>Lifestyle</v>
      </c>
      <c r="I108" s="3">
        <f>_xlfn.XLOOKUP(D108,Products!$A$2:$A$11,Products!$D$2:$D$11)</f>
        <v>55</v>
      </c>
      <c r="J108" s="3" t="str">
        <f>_xlfn.XLOOKUP(C108,Customers!$A$2:$A$101,Customers!$B$2:$B$101)</f>
        <v>Customer 006</v>
      </c>
      <c r="K108" s="3" t="str">
        <f>_xlfn.XLOOKUP(C108,Customers!$A$2:$A$101,Customers!$C$2:$C$101)</f>
        <v>Sheffield</v>
      </c>
      <c r="L108" s="3" t="str">
        <f>_xlfn.XLOOKUP(C108,Customers!$A$2:$A$101,Customers!$D$2:$D$101)</f>
        <v>Corporate</v>
      </c>
      <c r="M108" s="3">
        <f t="shared" si="3"/>
        <v>233.75</v>
      </c>
      <c r="N108" s="3">
        <f>E108*_xlfn.XLOOKUP(D108,Products!$A$2:$A$11,Products!$E$2:$E$11)</f>
        <v>135</v>
      </c>
      <c r="O108" s="3">
        <f t="shared" si="2"/>
        <v>98.75</v>
      </c>
    </row>
    <row r="109" spans="1:15" x14ac:dyDescent="0.3">
      <c r="A109" t="s">
        <v>185</v>
      </c>
      <c r="B109" s="1">
        <v>45996</v>
      </c>
      <c r="C109" t="s">
        <v>186</v>
      </c>
      <c r="D109" t="s">
        <v>30</v>
      </c>
      <c r="E109">
        <v>5</v>
      </c>
      <c r="F109" s="2">
        <v>0.1</v>
      </c>
      <c r="G109" s="2" t="str">
        <f>_xlfn.XLOOKUP(D109,Products!$A$2:$A$11,Products!$B$2:$B$11)</f>
        <v>Wireless Mouse</v>
      </c>
      <c r="H109" s="2" t="str">
        <f>_xlfn.XLOOKUP(D109,Products!$A$2:$A$11,Products!$C$2:$C$11)</f>
        <v>Electronics</v>
      </c>
      <c r="I109" s="3">
        <f>_xlfn.XLOOKUP(D109,Products!$A$2:$A$11,Products!$D$2:$D$11)</f>
        <v>25</v>
      </c>
      <c r="J109" s="3" t="str">
        <f>_xlfn.XLOOKUP(C109,Customers!$A$2:$A$101,Customers!$B$2:$B$101)</f>
        <v>Customer 048</v>
      </c>
      <c r="K109" s="3" t="str">
        <f>_xlfn.XLOOKUP(C109,Customers!$A$2:$A$101,Customers!$C$2:$C$101)</f>
        <v>Sheffield</v>
      </c>
      <c r="L109" s="3" t="str">
        <f>_xlfn.XLOOKUP(C109,Customers!$A$2:$A$101,Customers!$D$2:$D$101)</f>
        <v>Consumer</v>
      </c>
      <c r="M109" s="3">
        <f t="shared" si="3"/>
        <v>112.5</v>
      </c>
      <c r="N109" s="3">
        <f>E109*_xlfn.XLOOKUP(D109,Products!$A$2:$A$11,Products!$E$2:$E$11)</f>
        <v>60</v>
      </c>
      <c r="O109" s="3">
        <f t="shared" si="2"/>
        <v>52.5</v>
      </c>
    </row>
    <row r="110" spans="1:15" x14ac:dyDescent="0.3">
      <c r="A110" t="s">
        <v>187</v>
      </c>
      <c r="B110" s="1">
        <v>45664</v>
      </c>
      <c r="C110" t="s">
        <v>188</v>
      </c>
      <c r="D110" t="s">
        <v>33</v>
      </c>
      <c r="E110">
        <v>1</v>
      </c>
      <c r="F110" s="2">
        <v>0.15</v>
      </c>
      <c r="G110" s="2" t="str">
        <f>_xlfn.XLOOKUP(D110,Products!$A$2:$A$11,Products!$B$2:$B$11)</f>
        <v>Notebook Pack</v>
      </c>
      <c r="H110" s="2" t="str">
        <f>_xlfn.XLOOKUP(D110,Products!$A$2:$A$11,Products!$C$2:$C$11)</f>
        <v>Stationery</v>
      </c>
      <c r="I110" s="3">
        <f>_xlfn.XLOOKUP(D110,Products!$A$2:$A$11,Products!$D$2:$D$11)</f>
        <v>12</v>
      </c>
      <c r="J110" s="3" t="str">
        <f>_xlfn.XLOOKUP(C110,Customers!$A$2:$A$101,Customers!$B$2:$B$101)</f>
        <v>Customer 054</v>
      </c>
      <c r="K110" s="3" t="str">
        <f>_xlfn.XLOOKUP(C110,Customers!$A$2:$A$101,Customers!$C$2:$C$101)</f>
        <v>London</v>
      </c>
      <c r="L110" s="3" t="str">
        <f>_xlfn.XLOOKUP(C110,Customers!$A$2:$A$101,Customers!$D$2:$D$101)</f>
        <v>Consumer</v>
      </c>
      <c r="M110" s="3">
        <f t="shared" si="3"/>
        <v>10.199999999999999</v>
      </c>
      <c r="N110" s="3">
        <f>E110*_xlfn.XLOOKUP(D110,Products!$A$2:$A$11,Products!$E$2:$E$11)</f>
        <v>5</v>
      </c>
      <c r="O110" s="3">
        <f t="shared" si="2"/>
        <v>5.1999999999999993</v>
      </c>
    </row>
    <row r="111" spans="1:15" x14ac:dyDescent="0.3">
      <c r="A111" t="s">
        <v>189</v>
      </c>
      <c r="B111" s="1">
        <v>45843</v>
      </c>
      <c r="C111" t="s">
        <v>89</v>
      </c>
      <c r="D111" t="s">
        <v>33</v>
      </c>
      <c r="E111">
        <v>2</v>
      </c>
      <c r="F111" s="2">
        <v>0.15</v>
      </c>
      <c r="G111" s="2" t="str">
        <f>_xlfn.XLOOKUP(D111,Products!$A$2:$A$11,Products!$B$2:$B$11)</f>
        <v>Notebook Pack</v>
      </c>
      <c r="H111" s="2" t="str">
        <f>_xlfn.XLOOKUP(D111,Products!$A$2:$A$11,Products!$C$2:$C$11)</f>
        <v>Stationery</v>
      </c>
      <c r="I111" s="3">
        <f>_xlfn.XLOOKUP(D111,Products!$A$2:$A$11,Products!$D$2:$D$11)</f>
        <v>12</v>
      </c>
      <c r="J111" s="3" t="str">
        <f>_xlfn.XLOOKUP(C111,Customers!$A$2:$A$101,Customers!$B$2:$B$101)</f>
        <v>Customer 082</v>
      </c>
      <c r="K111" s="3" t="str">
        <f>_xlfn.XLOOKUP(C111,Customers!$A$2:$A$101,Customers!$C$2:$C$101)</f>
        <v>Sheffield</v>
      </c>
      <c r="L111" s="3" t="str">
        <f>_xlfn.XLOOKUP(C111,Customers!$A$2:$A$101,Customers!$D$2:$D$101)</f>
        <v>Corporate</v>
      </c>
      <c r="M111" s="3">
        <f t="shared" si="3"/>
        <v>20.399999999999999</v>
      </c>
      <c r="N111" s="3">
        <f>E111*_xlfn.XLOOKUP(D111,Products!$A$2:$A$11,Products!$E$2:$E$11)</f>
        <v>10</v>
      </c>
      <c r="O111" s="3">
        <f t="shared" si="2"/>
        <v>10.399999999999999</v>
      </c>
    </row>
    <row r="112" spans="1:15" x14ac:dyDescent="0.3">
      <c r="A112" t="s">
        <v>190</v>
      </c>
      <c r="B112" s="1">
        <v>45748</v>
      </c>
      <c r="C112" t="s">
        <v>191</v>
      </c>
      <c r="D112" t="s">
        <v>11</v>
      </c>
      <c r="E112">
        <v>3</v>
      </c>
      <c r="F112" s="2">
        <v>0.15</v>
      </c>
      <c r="G112" s="2" t="str">
        <f>_xlfn.XLOOKUP(D112,Products!$A$2:$A$11,Products!$B$2:$B$11)</f>
        <v>Office Chair</v>
      </c>
      <c r="H112" s="2" t="str">
        <f>_xlfn.XLOOKUP(D112,Products!$A$2:$A$11,Products!$C$2:$C$11)</f>
        <v>Office</v>
      </c>
      <c r="I112" s="3">
        <f>_xlfn.XLOOKUP(D112,Products!$A$2:$A$11,Products!$D$2:$D$11)</f>
        <v>180</v>
      </c>
      <c r="J112" s="3" t="str">
        <f>_xlfn.XLOOKUP(C112,Customers!$A$2:$A$101,Customers!$B$2:$B$101)</f>
        <v>Customer 094</v>
      </c>
      <c r="K112" s="3" t="str">
        <f>_xlfn.XLOOKUP(C112,Customers!$A$2:$A$101,Customers!$C$2:$C$101)</f>
        <v>Manchester</v>
      </c>
      <c r="L112" s="3" t="str">
        <f>_xlfn.XLOOKUP(C112,Customers!$A$2:$A$101,Customers!$D$2:$D$101)</f>
        <v>Small Business</v>
      </c>
      <c r="M112" s="3">
        <f t="shared" si="3"/>
        <v>459</v>
      </c>
      <c r="N112" s="3">
        <f>E112*_xlfn.XLOOKUP(D112,Products!$A$2:$A$11,Products!$E$2:$E$11)</f>
        <v>315</v>
      </c>
      <c r="O112" s="3">
        <f t="shared" si="2"/>
        <v>144</v>
      </c>
    </row>
    <row r="113" spans="1:15" x14ac:dyDescent="0.3">
      <c r="A113" t="s">
        <v>192</v>
      </c>
      <c r="B113" s="1">
        <v>45896</v>
      </c>
      <c r="C113" t="s">
        <v>116</v>
      </c>
      <c r="D113" t="s">
        <v>8</v>
      </c>
      <c r="E113">
        <v>3</v>
      </c>
      <c r="F113" s="2">
        <v>0.1</v>
      </c>
      <c r="G113" s="2" t="str">
        <f>_xlfn.XLOOKUP(D113,Products!$A$2:$A$11,Products!$B$2:$B$11)</f>
        <v>USB-C Hub</v>
      </c>
      <c r="H113" s="2" t="str">
        <f>_xlfn.XLOOKUP(D113,Products!$A$2:$A$11,Products!$C$2:$C$11)</f>
        <v>Electronics</v>
      </c>
      <c r="I113" s="3">
        <f>_xlfn.XLOOKUP(D113,Products!$A$2:$A$11,Products!$D$2:$D$11)</f>
        <v>40</v>
      </c>
      <c r="J113" s="3" t="str">
        <f>_xlfn.XLOOKUP(C113,Customers!$A$2:$A$101,Customers!$B$2:$B$101)</f>
        <v>Customer 056</v>
      </c>
      <c r="K113" s="3" t="str">
        <f>_xlfn.XLOOKUP(C113,Customers!$A$2:$A$101,Customers!$C$2:$C$101)</f>
        <v>Leeds</v>
      </c>
      <c r="L113" s="3" t="str">
        <f>_xlfn.XLOOKUP(C113,Customers!$A$2:$A$101,Customers!$D$2:$D$101)</f>
        <v>Small Business</v>
      </c>
      <c r="M113" s="3">
        <f t="shared" si="3"/>
        <v>108</v>
      </c>
      <c r="N113" s="3">
        <f>E113*_xlfn.XLOOKUP(D113,Products!$A$2:$A$11,Products!$E$2:$E$11)</f>
        <v>57</v>
      </c>
      <c r="O113" s="3">
        <f t="shared" si="2"/>
        <v>51</v>
      </c>
    </row>
    <row r="114" spans="1:15" x14ac:dyDescent="0.3">
      <c r="A114" t="s">
        <v>193</v>
      </c>
      <c r="B114" s="1">
        <v>45783</v>
      </c>
      <c r="C114" t="s">
        <v>194</v>
      </c>
      <c r="D114" t="s">
        <v>60</v>
      </c>
      <c r="E114">
        <v>4</v>
      </c>
      <c r="F114" s="2">
        <v>0.05</v>
      </c>
      <c r="G114" s="2" t="str">
        <f>_xlfn.XLOOKUP(D114,Products!$A$2:$A$11,Products!$B$2:$B$11)</f>
        <v>Water Bottle</v>
      </c>
      <c r="H114" s="2" t="str">
        <f>_xlfn.XLOOKUP(D114,Products!$A$2:$A$11,Products!$C$2:$C$11)</f>
        <v>Lifestyle</v>
      </c>
      <c r="I114" s="3">
        <f>_xlfn.XLOOKUP(D114,Products!$A$2:$A$11,Products!$D$2:$D$11)</f>
        <v>18</v>
      </c>
      <c r="J114" s="3" t="str">
        <f>_xlfn.XLOOKUP(C114,Customers!$A$2:$A$101,Customers!$B$2:$B$101)</f>
        <v>Customer 012</v>
      </c>
      <c r="K114" s="3" t="str">
        <f>_xlfn.XLOOKUP(C114,Customers!$A$2:$A$101,Customers!$C$2:$C$101)</f>
        <v>Bristol</v>
      </c>
      <c r="L114" s="3" t="str">
        <f>_xlfn.XLOOKUP(C114,Customers!$A$2:$A$101,Customers!$D$2:$D$101)</f>
        <v>Consumer</v>
      </c>
      <c r="M114" s="3">
        <f t="shared" si="3"/>
        <v>68.399999999999991</v>
      </c>
      <c r="N114" s="3">
        <f>E114*_xlfn.XLOOKUP(D114,Products!$A$2:$A$11,Products!$E$2:$E$11)</f>
        <v>28</v>
      </c>
      <c r="O114" s="3">
        <f t="shared" si="2"/>
        <v>40.399999999999991</v>
      </c>
    </row>
    <row r="115" spans="1:15" x14ac:dyDescent="0.3">
      <c r="A115" t="s">
        <v>195</v>
      </c>
      <c r="B115" s="1">
        <v>45895</v>
      </c>
      <c r="C115" t="s">
        <v>196</v>
      </c>
      <c r="D115" t="s">
        <v>8</v>
      </c>
      <c r="E115">
        <v>4</v>
      </c>
      <c r="F115" s="2">
        <v>0.1</v>
      </c>
      <c r="G115" s="2" t="str">
        <f>_xlfn.XLOOKUP(D115,Products!$A$2:$A$11,Products!$B$2:$B$11)</f>
        <v>USB-C Hub</v>
      </c>
      <c r="H115" s="2" t="str">
        <f>_xlfn.XLOOKUP(D115,Products!$A$2:$A$11,Products!$C$2:$C$11)</f>
        <v>Electronics</v>
      </c>
      <c r="I115" s="3">
        <f>_xlfn.XLOOKUP(D115,Products!$A$2:$A$11,Products!$D$2:$D$11)</f>
        <v>40</v>
      </c>
      <c r="J115" s="3" t="str">
        <f>_xlfn.XLOOKUP(C115,Customers!$A$2:$A$101,Customers!$B$2:$B$101)</f>
        <v>Customer 073</v>
      </c>
      <c r="K115" s="3" t="str">
        <f>_xlfn.XLOOKUP(C115,Customers!$A$2:$A$101,Customers!$C$2:$C$101)</f>
        <v>Manchester</v>
      </c>
      <c r="L115" s="3" t="str">
        <f>_xlfn.XLOOKUP(C115,Customers!$A$2:$A$101,Customers!$D$2:$D$101)</f>
        <v>Corporate</v>
      </c>
      <c r="M115" s="3">
        <f t="shared" si="3"/>
        <v>144</v>
      </c>
      <c r="N115" s="3">
        <f>E115*_xlfn.XLOOKUP(D115,Products!$A$2:$A$11,Products!$E$2:$E$11)</f>
        <v>76</v>
      </c>
      <c r="O115" s="3">
        <f t="shared" si="2"/>
        <v>68</v>
      </c>
    </row>
    <row r="116" spans="1:15" x14ac:dyDescent="0.3">
      <c r="A116" t="s">
        <v>197</v>
      </c>
      <c r="B116" s="1">
        <v>45672</v>
      </c>
      <c r="C116" t="s">
        <v>198</v>
      </c>
      <c r="D116" t="s">
        <v>19</v>
      </c>
      <c r="E116">
        <v>2</v>
      </c>
      <c r="F116" s="2">
        <v>0.15</v>
      </c>
      <c r="G116" s="2" t="str">
        <f>_xlfn.XLOOKUP(D116,Products!$A$2:$A$11,Products!$B$2:$B$11)</f>
        <v>Backpack</v>
      </c>
      <c r="H116" s="2" t="str">
        <f>_xlfn.XLOOKUP(D116,Products!$A$2:$A$11,Products!$C$2:$C$11)</f>
        <v>Lifestyle</v>
      </c>
      <c r="I116" s="3">
        <f>_xlfn.XLOOKUP(D116,Products!$A$2:$A$11,Products!$D$2:$D$11)</f>
        <v>55</v>
      </c>
      <c r="J116" s="3" t="str">
        <f>_xlfn.XLOOKUP(C116,Customers!$A$2:$A$101,Customers!$B$2:$B$101)</f>
        <v>Customer 064</v>
      </c>
      <c r="K116" s="3" t="str">
        <f>_xlfn.XLOOKUP(C116,Customers!$A$2:$A$101,Customers!$C$2:$C$101)</f>
        <v>Manchester</v>
      </c>
      <c r="L116" s="3" t="str">
        <f>_xlfn.XLOOKUP(C116,Customers!$A$2:$A$101,Customers!$D$2:$D$101)</f>
        <v>Corporate</v>
      </c>
      <c r="M116" s="3">
        <f t="shared" si="3"/>
        <v>93.5</v>
      </c>
      <c r="N116" s="3">
        <f>E116*_xlfn.XLOOKUP(D116,Products!$A$2:$A$11,Products!$E$2:$E$11)</f>
        <v>54</v>
      </c>
      <c r="O116" s="3">
        <f t="shared" si="2"/>
        <v>39.5</v>
      </c>
    </row>
    <row r="117" spans="1:15" x14ac:dyDescent="0.3">
      <c r="A117" t="s">
        <v>199</v>
      </c>
      <c r="B117" s="1">
        <v>45766</v>
      </c>
      <c r="C117" t="s">
        <v>99</v>
      </c>
      <c r="D117" t="s">
        <v>60</v>
      </c>
      <c r="E117">
        <v>3</v>
      </c>
      <c r="F117" s="2">
        <v>0.1</v>
      </c>
      <c r="G117" s="2" t="str">
        <f>_xlfn.XLOOKUP(D117,Products!$A$2:$A$11,Products!$B$2:$B$11)</f>
        <v>Water Bottle</v>
      </c>
      <c r="H117" s="2" t="str">
        <f>_xlfn.XLOOKUP(D117,Products!$A$2:$A$11,Products!$C$2:$C$11)</f>
        <v>Lifestyle</v>
      </c>
      <c r="I117" s="3">
        <f>_xlfn.XLOOKUP(D117,Products!$A$2:$A$11,Products!$D$2:$D$11)</f>
        <v>18</v>
      </c>
      <c r="J117" s="3" t="str">
        <f>_xlfn.XLOOKUP(C117,Customers!$A$2:$A$101,Customers!$B$2:$B$101)</f>
        <v>Customer 046</v>
      </c>
      <c r="K117" s="3" t="str">
        <f>_xlfn.XLOOKUP(C117,Customers!$A$2:$A$101,Customers!$C$2:$C$101)</f>
        <v>Bristol</v>
      </c>
      <c r="L117" s="3" t="str">
        <f>_xlfn.XLOOKUP(C117,Customers!$A$2:$A$101,Customers!$D$2:$D$101)</f>
        <v>Corporate</v>
      </c>
      <c r="M117" s="3">
        <f t="shared" si="3"/>
        <v>48.6</v>
      </c>
      <c r="N117" s="3">
        <f>E117*_xlfn.XLOOKUP(D117,Products!$A$2:$A$11,Products!$E$2:$E$11)</f>
        <v>21</v>
      </c>
      <c r="O117" s="3">
        <f t="shared" si="2"/>
        <v>27.6</v>
      </c>
    </row>
    <row r="118" spans="1:15" x14ac:dyDescent="0.3">
      <c r="A118" t="s">
        <v>200</v>
      </c>
      <c r="B118" s="1">
        <v>45963</v>
      </c>
      <c r="C118" t="s">
        <v>156</v>
      </c>
      <c r="D118" t="s">
        <v>60</v>
      </c>
      <c r="E118">
        <v>5</v>
      </c>
      <c r="F118" s="2">
        <v>0</v>
      </c>
      <c r="G118" s="2" t="str">
        <f>_xlfn.XLOOKUP(D118,Products!$A$2:$A$11,Products!$B$2:$B$11)</f>
        <v>Water Bottle</v>
      </c>
      <c r="H118" s="2" t="str">
        <f>_xlfn.XLOOKUP(D118,Products!$A$2:$A$11,Products!$C$2:$C$11)</f>
        <v>Lifestyle</v>
      </c>
      <c r="I118" s="3">
        <f>_xlfn.XLOOKUP(D118,Products!$A$2:$A$11,Products!$D$2:$D$11)</f>
        <v>18</v>
      </c>
      <c r="J118" s="3" t="str">
        <f>_xlfn.XLOOKUP(C118,Customers!$A$2:$A$101,Customers!$B$2:$B$101)</f>
        <v>Customer 090</v>
      </c>
      <c r="K118" s="3" t="str">
        <f>_xlfn.XLOOKUP(C118,Customers!$A$2:$A$101,Customers!$C$2:$C$101)</f>
        <v>Bristol</v>
      </c>
      <c r="L118" s="3" t="str">
        <f>_xlfn.XLOOKUP(C118,Customers!$A$2:$A$101,Customers!$D$2:$D$101)</f>
        <v>Consumer</v>
      </c>
      <c r="M118" s="3">
        <f t="shared" si="3"/>
        <v>90</v>
      </c>
      <c r="N118" s="3">
        <f>E118*_xlfn.XLOOKUP(D118,Products!$A$2:$A$11,Products!$E$2:$E$11)</f>
        <v>35</v>
      </c>
      <c r="O118" s="3">
        <f t="shared" si="2"/>
        <v>55</v>
      </c>
    </row>
    <row r="119" spans="1:15" x14ac:dyDescent="0.3">
      <c r="A119" t="s">
        <v>201</v>
      </c>
      <c r="B119" s="1">
        <v>45922</v>
      </c>
      <c r="C119" t="s">
        <v>37</v>
      </c>
      <c r="D119" t="s">
        <v>30</v>
      </c>
      <c r="E119">
        <v>2</v>
      </c>
      <c r="F119" s="2">
        <v>0.15</v>
      </c>
      <c r="G119" s="2" t="str">
        <f>_xlfn.XLOOKUP(D119,Products!$A$2:$A$11,Products!$B$2:$B$11)</f>
        <v>Wireless Mouse</v>
      </c>
      <c r="H119" s="2" t="str">
        <f>_xlfn.XLOOKUP(D119,Products!$A$2:$A$11,Products!$C$2:$C$11)</f>
        <v>Electronics</v>
      </c>
      <c r="I119" s="3">
        <f>_xlfn.XLOOKUP(D119,Products!$A$2:$A$11,Products!$D$2:$D$11)</f>
        <v>25</v>
      </c>
      <c r="J119" s="3" t="str">
        <f>_xlfn.XLOOKUP(C119,Customers!$A$2:$A$101,Customers!$B$2:$B$101)</f>
        <v>Customer 025</v>
      </c>
      <c r="K119" s="3" t="str">
        <f>_xlfn.XLOOKUP(C119,Customers!$A$2:$A$101,Customers!$C$2:$C$101)</f>
        <v>Birmingham</v>
      </c>
      <c r="L119" s="3" t="str">
        <f>_xlfn.XLOOKUP(C119,Customers!$A$2:$A$101,Customers!$D$2:$D$101)</f>
        <v>Small Business</v>
      </c>
      <c r="M119" s="3">
        <f t="shared" si="3"/>
        <v>42.5</v>
      </c>
      <c r="N119" s="3">
        <f>E119*_xlfn.XLOOKUP(D119,Products!$A$2:$A$11,Products!$E$2:$E$11)</f>
        <v>24</v>
      </c>
      <c r="O119" s="3">
        <f t="shared" si="2"/>
        <v>18.5</v>
      </c>
    </row>
    <row r="120" spans="1:15" x14ac:dyDescent="0.3">
      <c r="A120" t="s">
        <v>202</v>
      </c>
      <c r="B120" s="1">
        <v>45908</v>
      </c>
      <c r="C120" t="s">
        <v>142</v>
      </c>
      <c r="D120" t="s">
        <v>22</v>
      </c>
      <c r="E120">
        <v>4</v>
      </c>
      <c r="F120" s="2">
        <v>0.15</v>
      </c>
      <c r="G120" s="2" t="str">
        <f>_xlfn.XLOOKUP(D120,Products!$A$2:$A$11,Products!$B$2:$B$11)</f>
        <v>Desk Lamp</v>
      </c>
      <c r="H120" s="2" t="str">
        <f>_xlfn.XLOOKUP(D120,Products!$A$2:$A$11,Products!$C$2:$C$11)</f>
        <v>Office</v>
      </c>
      <c r="I120" s="3">
        <f>_xlfn.XLOOKUP(D120,Products!$A$2:$A$11,Products!$D$2:$D$11)</f>
        <v>30</v>
      </c>
      <c r="J120" s="3" t="str">
        <f>_xlfn.XLOOKUP(C120,Customers!$A$2:$A$101,Customers!$B$2:$B$101)</f>
        <v>Customer 072</v>
      </c>
      <c r="K120" s="3" t="str">
        <f>_xlfn.XLOOKUP(C120,Customers!$A$2:$A$101,Customers!$C$2:$C$101)</f>
        <v>London</v>
      </c>
      <c r="L120" s="3" t="str">
        <f>_xlfn.XLOOKUP(C120,Customers!$A$2:$A$101,Customers!$D$2:$D$101)</f>
        <v>Consumer</v>
      </c>
      <c r="M120" s="3">
        <f t="shared" si="3"/>
        <v>102</v>
      </c>
      <c r="N120" s="3">
        <f>E120*_xlfn.XLOOKUP(D120,Products!$A$2:$A$11,Products!$E$2:$E$11)</f>
        <v>60</v>
      </c>
      <c r="O120" s="3">
        <f t="shared" si="2"/>
        <v>42</v>
      </c>
    </row>
    <row r="121" spans="1:15" x14ac:dyDescent="0.3">
      <c r="A121" t="s">
        <v>203</v>
      </c>
      <c r="B121" s="1">
        <v>45887</v>
      </c>
      <c r="C121" t="s">
        <v>204</v>
      </c>
      <c r="D121" t="s">
        <v>30</v>
      </c>
      <c r="E121">
        <v>3</v>
      </c>
      <c r="F121" s="2">
        <v>0.05</v>
      </c>
      <c r="G121" s="2" t="str">
        <f>_xlfn.XLOOKUP(D121,Products!$A$2:$A$11,Products!$B$2:$B$11)</f>
        <v>Wireless Mouse</v>
      </c>
      <c r="H121" s="2" t="str">
        <f>_xlfn.XLOOKUP(D121,Products!$A$2:$A$11,Products!$C$2:$C$11)</f>
        <v>Electronics</v>
      </c>
      <c r="I121" s="3">
        <f>_xlfn.XLOOKUP(D121,Products!$A$2:$A$11,Products!$D$2:$D$11)</f>
        <v>25</v>
      </c>
      <c r="J121" s="3" t="str">
        <f>_xlfn.XLOOKUP(C121,Customers!$A$2:$A$101,Customers!$B$2:$B$101)</f>
        <v>Customer 003</v>
      </c>
      <c r="K121" s="3" t="str">
        <f>_xlfn.XLOOKUP(C121,Customers!$A$2:$A$101,Customers!$C$2:$C$101)</f>
        <v>Birmingham</v>
      </c>
      <c r="L121" s="3" t="str">
        <f>_xlfn.XLOOKUP(C121,Customers!$A$2:$A$101,Customers!$D$2:$D$101)</f>
        <v>Consumer</v>
      </c>
      <c r="M121" s="3">
        <f t="shared" si="3"/>
        <v>71.25</v>
      </c>
      <c r="N121" s="3">
        <f>E121*_xlfn.XLOOKUP(D121,Products!$A$2:$A$11,Products!$E$2:$E$11)</f>
        <v>36</v>
      </c>
      <c r="O121" s="3">
        <f t="shared" si="2"/>
        <v>35.25</v>
      </c>
    </row>
    <row r="122" spans="1:15" x14ac:dyDescent="0.3">
      <c r="A122" t="s">
        <v>205</v>
      </c>
      <c r="B122" s="1">
        <v>45865</v>
      </c>
      <c r="C122" t="s">
        <v>151</v>
      </c>
      <c r="D122" t="s">
        <v>22</v>
      </c>
      <c r="E122">
        <v>3</v>
      </c>
      <c r="F122" s="2">
        <v>0.1</v>
      </c>
      <c r="G122" s="2" t="str">
        <f>_xlfn.XLOOKUP(D122,Products!$A$2:$A$11,Products!$B$2:$B$11)</f>
        <v>Desk Lamp</v>
      </c>
      <c r="H122" s="2" t="str">
        <f>_xlfn.XLOOKUP(D122,Products!$A$2:$A$11,Products!$C$2:$C$11)</f>
        <v>Office</v>
      </c>
      <c r="I122" s="3">
        <f>_xlfn.XLOOKUP(D122,Products!$A$2:$A$11,Products!$D$2:$D$11)</f>
        <v>30</v>
      </c>
      <c r="J122" s="3" t="str">
        <f>_xlfn.XLOOKUP(C122,Customers!$A$2:$A$101,Customers!$B$2:$B$101)</f>
        <v>Customer 089</v>
      </c>
      <c r="K122" s="3" t="str">
        <f>_xlfn.XLOOKUP(C122,Customers!$A$2:$A$101,Customers!$C$2:$C$101)</f>
        <v>Bristol</v>
      </c>
      <c r="L122" s="3" t="str">
        <f>_xlfn.XLOOKUP(C122,Customers!$A$2:$A$101,Customers!$D$2:$D$101)</f>
        <v>Consumer</v>
      </c>
      <c r="M122" s="3">
        <f t="shared" si="3"/>
        <v>81</v>
      </c>
      <c r="N122" s="3">
        <f>E122*_xlfn.XLOOKUP(D122,Products!$A$2:$A$11,Products!$E$2:$E$11)</f>
        <v>45</v>
      </c>
      <c r="O122" s="3">
        <f t="shared" si="2"/>
        <v>36</v>
      </c>
    </row>
    <row r="123" spans="1:15" x14ac:dyDescent="0.3">
      <c r="A123" t="s">
        <v>206</v>
      </c>
      <c r="B123" s="1">
        <v>45900</v>
      </c>
      <c r="C123" t="s">
        <v>127</v>
      </c>
      <c r="D123" t="s">
        <v>11</v>
      </c>
      <c r="E123">
        <v>3</v>
      </c>
      <c r="F123" s="2">
        <v>0.15</v>
      </c>
      <c r="G123" s="2" t="str">
        <f>_xlfn.XLOOKUP(D123,Products!$A$2:$A$11,Products!$B$2:$B$11)</f>
        <v>Office Chair</v>
      </c>
      <c r="H123" s="2" t="str">
        <f>_xlfn.XLOOKUP(D123,Products!$A$2:$A$11,Products!$C$2:$C$11)</f>
        <v>Office</v>
      </c>
      <c r="I123" s="3">
        <f>_xlfn.XLOOKUP(D123,Products!$A$2:$A$11,Products!$D$2:$D$11)</f>
        <v>180</v>
      </c>
      <c r="J123" s="3" t="str">
        <f>_xlfn.XLOOKUP(C123,Customers!$A$2:$A$101,Customers!$B$2:$B$101)</f>
        <v>Customer 071</v>
      </c>
      <c r="K123" s="3" t="str">
        <f>_xlfn.XLOOKUP(C123,Customers!$A$2:$A$101,Customers!$C$2:$C$101)</f>
        <v>Leeds</v>
      </c>
      <c r="L123" s="3" t="str">
        <f>_xlfn.XLOOKUP(C123,Customers!$A$2:$A$101,Customers!$D$2:$D$101)</f>
        <v>Consumer</v>
      </c>
      <c r="M123" s="3">
        <f t="shared" si="3"/>
        <v>459</v>
      </c>
      <c r="N123" s="3">
        <f>E123*_xlfn.XLOOKUP(D123,Products!$A$2:$A$11,Products!$E$2:$E$11)</f>
        <v>315</v>
      </c>
      <c r="O123" s="3">
        <f t="shared" si="2"/>
        <v>144</v>
      </c>
    </row>
    <row r="124" spans="1:15" x14ac:dyDescent="0.3">
      <c r="A124" t="s">
        <v>207</v>
      </c>
      <c r="B124" s="1">
        <v>45939</v>
      </c>
      <c r="C124" t="s">
        <v>29</v>
      </c>
      <c r="D124" t="s">
        <v>19</v>
      </c>
      <c r="E124">
        <v>4</v>
      </c>
      <c r="F124" s="2">
        <v>0.1</v>
      </c>
      <c r="G124" s="2" t="str">
        <f>_xlfn.XLOOKUP(D124,Products!$A$2:$A$11,Products!$B$2:$B$11)</f>
        <v>Backpack</v>
      </c>
      <c r="H124" s="2" t="str">
        <f>_xlfn.XLOOKUP(D124,Products!$A$2:$A$11,Products!$C$2:$C$11)</f>
        <v>Lifestyle</v>
      </c>
      <c r="I124" s="3">
        <f>_xlfn.XLOOKUP(D124,Products!$A$2:$A$11,Products!$D$2:$D$11)</f>
        <v>55</v>
      </c>
      <c r="J124" s="3" t="str">
        <f>_xlfn.XLOOKUP(C124,Customers!$A$2:$A$101,Customers!$B$2:$B$101)</f>
        <v>Customer 043</v>
      </c>
      <c r="K124" s="3" t="str">
        <f>_xlfn.XLOOKUP(C124,Customers!$A$2:$A$101,Customers!$C$2:$C$101)</f>
        <v>Sheffield</v>
      </c>
      <c r="L124" s="3" t="str">
        <f>_xlfn.XLOOKUP(C124,Customers!$A$2:$A$101,Customers!$D$2:$D$101)</f>
        <v>Small Business</v>
      </c>
      <c r="M124" s="3">
        <f t="shared" si="3"/>
        <v>198</v>
      </c>
      <c r="N124" s="3">
        <f>E124*_xlfn.XLOOKUP(D124,Products!$A$2:$A$11,Products!$E$2:$E$11)</f>
        <v>108</v>
      </c>
      <c r="O124" s="3">
        <f t="shared" si="2"/>
        <v>90</v>
      </c>
    </row>
    <row r="125" spans="1:15" x14ac:dyDescent="0.3">
      <c r="A125" t="s">
        <v>208</v>
      </c>
      <c r="B125" s="1">
        <v>45814</v>
      </c>
      <c r="C125" t="s">
        <v>170</v>
      </c>
      <c r="D125" t="s">
        <v>22</v>
      </c>
      <c r="E125">
        <v>1</v>
      </c>
      <c r="F125" s="2">
        <v>0.05</v>
      </c>
      <c r="G125" s="2" t="str">
        <f>_xlfn.XLOOKUP(D125,Products!$A$2:$A$11,Products!$B$2:$B$11)</f>
        <v>Desk Lamp</v>
      </c>
      <c r="H125" s="2" t="str">
        <f>_xlfn.XLOOKUP(D125,Products!$A$2:$A$11,Products!$C$2:$C$11)</f>
        <v>Office</v>
      </c>
      <c r="I125" s="3">
        <f>_xlfn.XLOOKUP(D125,Products!$A$2:$A$11,Products!$D$2:$D$11)</f>
        <v>30</v>
      </c>
      <c r="J125" s="3" t="str">
        <f>_xlfn.XLOOKUP(C125,Customers!$A$2:$A$101,Customers!$B$2:$B$101)</f>
        <v>Customer 033</v>
      </c>
      <c r="K125" s="3" t="str">
        <f>_xlfn.XLOOKUP(C125,Customers!$A$2:$A$101,Customers!$C$2:$C$101)</f>
        <v>Bristol</v>
      </c>
      <c r="L125" s="3" t="str">
        <f>_xlfn.XLOOKUP(C125,Customers!$A$2:$A$101,Customers!$D$2:$D$101)</f>
        <v>Consumer</v>
      </c>
      <c r="M125" s="3">
        <f t="shared" si="3"/>
        <v>28.5</v>
      </c>
      <c r="N125" s="3">
        <f>E125*_xlfn.XLOOKUP(D125,Products!$A$2:$A$11,Products!$E$2:$E$11)</f>
        <v>15</v>
      </c>
      <c r="O125" s="3">
        <f t="shared" si="2"/>
        <v>13.5</v>
      </c>
    </row>
    <row r="126" spans="1:15" x14ac:dyDescent="0.3">
      <c r="A126" t="s">
        <v>209</v>
      </c>
      <c r="B126" s="1">
        <v>45819</v>
      </c>
      <c r="C126" t="s">
        <v>121</v>
      </c>
      <c r="D126" t="s">
        <v>11</v>
      </c>
      <c r="E126">
        <v>2</v>
      </c>
      <c r="F126" s="2">
        <v>0.05</v>
      </c>
      <c r="G126" s="2" t="str">
        <f>_xlfn.XLOOKUP(D126,Products!$A$2:$A$11,Products!$B$2:$B$11)</f>
        <v>Office Chair</v>
      </c>
      <c r="H126" s="2" t="str">
        <f>_xlfn.XLOOKUP(D126,Products!$A$2:$A$11,Products!$C$2:$C$11)</f>
        <v>Office</v>
      </c>
      <c r="I126" s="3">
        <f>_xlfn.XLOOKUP(D126,Products!$A$2:$A$11,Products!$D$2:$D$11)</f>
        <v>180</v>
      </c>
      <c r="J126" s="3" t="str">
        <f>_xlfn.XLOOKUP(C126,Customers!$A$2:$A$101,Customers!$B$2:$B$101)</f>
        <v>Customer 016</v>
      </c>
      <c r="K126" s="3" t="str">
        <f>_xlfn.XLOOKUP(C126,Customers!$A$2:$A$101,Customers!$C$2:$C$101)</f>
        <v>Leeds</v>
      </c>
      <c r="L126" s="3" t="str">
        <f>_xlfn.XLOOKUP(C126,Customers!$A$2:$A$101,Customers!$D$2:$D$101)</f>
        <v>Consumer</v>
      </c>
      <c r="M126" s="3">
        <f t="shared" si="3"/>
        <v>342</v>
      </c>
      <c r="N126" s="3">
        <f>E126*_xlfn.XLOOKUP(D126,Products!$A$2:$A$11,Products!$E$2:$E$11)</f>
        <v>210</v>
      </c>
      <c r="O126" s="3">
        <f t="shared" si="2"/>
        <v>132</v>
      </c>
    </row>
    <row r="127" spans="1:15" x14ac:dyDescent="0.3">
      <c r="A127" t="s">
        <v>210</v>
      </c>
      <c r="B127" s="1">
        <v>45768</v>
      </c>
      <c r="C127" t="s">
        <v>62</v>
      </c>
      <c r="D127" t="s">
        <v>33</v>
      </c>
      <c r="E127">
        <v>3</v>
      </c>
      <c r="F127" s="2">
        <v>0.1</v>
      </c>
      <c r="G127" s="2" t="str">
        <f>_xlfn.XLOOKUP(D127,Products!$A$2:$A$11,Products!$B$2:$B$11)</f>
        <v>Notebook Pack</v>
      </c>
      <c r="H127" s="2" t="str">
        <f>_xlfn.XLOOKUP(D127,Products!$A$2:$A$11,Products!$C$2:$C$11)</f>
        <v>Stationery</v>
      </c>
      <c r="I127" s="3">
        <f>_xlfn.XLOOKUP(D127,Products!$A$2:$A$11,Products!$D$2:$D$11)</f>
        <v>12</v>
      </c>
      <c r="J127" s="3" t="str">
        <f>_xlfn.XLOOKUP(C127,Customers!$A$2:$A$101,Customers!$B$2:$B$101)</f>
        <v>Customer 095</v>
      </c>
      <c r="K127" s="3" t="str">
        <f>_xlfn.XLOOKUP(C127,Customers!$A$2:$A$101,Customers!$C$2:$C$101)</f>
        <v>Manchester</v>
      </c>
      <c r="L127" s="3" t="str">
        <f>_xlfn.XLOOKUP(C127,Customers!$A$2:$A$101,Customers!$D$2:$D$101)</f>
        <v>Corporate</v>
      </c>
      <c r="M127" s="3">
        <f t="shared" si="3"/>
        <v>32.4</v>
      </c>
      <c r="N127" s="3">
        <f>E127*_xlfn.XLOOKUP(D127,Products!$A$2:$A$11,Products!$E$2:$E$11)</f>
        <v>15</v>
      </c>
      <c r="O127" s="3">
        <f t="shared" si="2"/>
        <v>17.399999999999999</v>
      </c>
    </row>
    <row r="128" spans="1:15" x14ac:dyDescent="0.3">
      <c r="A128" t="s">
        <v>211</v>
      </c>
      <c r="B128" s="1">
        <v>45709</v>
      </c>
      <c r="C128" t="s">
        <v>37</v>
      </c>
      <c r="D128" t="s">
        <v>60</v>
      </c>
      <c r="E128">
        <v>2</v>
      </c>
      <c r="F128" s="2">
        <v>0.1</v>
      </c>
      <c r="G128" s="2" t="str">
        <f>_xlfn.XLOOKUP(D128,Products!$A$2:$A$11,Products!$B$2:$B$11)</f>
        <v>Water Bottle</v>
      </c>
      <c r="H128" s="2" t="str">
        <f>_xlfn.XLOOKUP(D128,Products!$A$2:$A$11,Products!$C$2:$C$11)</f>
        <v>Lifestyle</v>
      </c>
      <c r="I128" s="3">
        <f>_xlfn.XLOOKUP(D128,Products!$A$2:$A$11,Products!$D$2:$D$11)</f>
        <v>18</v>
      </c>
      <c r="J128" s="3" t="str">
        <f>_xlfn.XLOOKUP(C128,Customers!$A$2:$A$101,Customers!$B$2:$B$101)</f>
        <v>Customer 025</v>
      </c>
      <c r="K128" s="3" t="str">
        <f>_xlfn.XLOOKUP(C128,Customers!$A$2:$A$101,Customers!$C$2:$C$101)</f>
        <v>Birmingham</v>
      </c>
      <c r="L128" s="3" t="str">
        <f>_xlfn.XLOOKUP(C128,Customers!$A$2:$A$101,Customers!$D$2:$D$101)</f>
        <v>Small Business</v>
      </c>
      <c r="M128" s="3">
        <f t="shared" si="3"/>
        <v>32.4</v>
      </c>
      <c r="N128" s="3">
        <f>E128*_xlfn.XLOOKUP(D128,Products!$A$2:$A$11,Products!$E$2:$E$11)</f>
        <v>14</v>
      </c>
      <c r="O128" s="3">
        <f t="shared" si="2"/>
        <v>18.399999999999999</v>
      </c>
    </row>
    <row r="129" spans="1:15" x14ac:dyDescent="0.3">
      <c r="A129" t="s">
        <v>212</v>
      </c>
      <c r="B129" s="1">
        <v>45749</v>
      </c>
      <c r="C129" t="s">
        <v>213</v>
      </c>
      <c r="D129" t="s">
        <v>27</v>
      </c>
      <c r="E129">
        <v>5</v>
      </c>
      <c r="F129" s="2">
        <v>0.05</v>
      </c>
      <c r="G129" s="2" t="str">
        <f>_xlfn.XLOOKUP(D129,Products!$A$2:$A$11,Products!$B$2:$B$11)</f>
        <v>Laptop Stand</v>
      </c>
      <c r="H129" s="2" t="str">
        <f>_xlfn.XLOOKUP(D129,Products!$A$2:$A$11,Products!$C$2:$C$11)</f>
        <v>Office</v>
      </c>
      <c r="I129" s="3">
        <f>_xlfn.XLOOKUP(D129,Products!$A$2:$A$11,Products!$D$2:$D$11)</f>
        <v>35</v>
      </c>
      <c r="J129" s="3" t="str">
        <f>_xlfn.XLOOKUP(C129,Customers!$A$2:$A$101,Customers!$B$2:$B$101)</f>
        <v>Customer 039</v>
      </c>
      <c r="K129" s="3" t="str">
        <f>_xlfn.XLOOKUP(C129,Customers!$A$2:$A$101,Customers!$C$2:$C$101)</f>
        <v>Birmingham</v>
      </c>
      <c r="L129" s="3" t="str">
        <f>_xlfn.XLOOKUP(C129,Customers!$A$2:$A$101,Customers!$D$2:$D$101)</f>
        <v>Small Business</v>
      </c>
      <c r="M129" s="3">
        <f t="shared" si="3"/>
        <v>166.25</v>
      </c>
      <c r="N129" s="3">
        <f>E129*_xlfn.XLOOKUP(D129,Products!$A$2:$A$11,Products!$E$2:$E$11)</f>
        <v>100</v>
      </c>
      <c r="O129" s="3">
        <f t="shared" si="2"/>
        <v>66.25</v>
      </c>
    </row>
    <row r="130" spans="1:15" x14ac:dyDescent="0.3">
      <c r="A130" t="s">
        <v>214</v>
      </c>
      <c r="B130" s="1">
        <v>45798</v>
      </c>
      <c r="C130" t="s">
        <v>173</v>
      </c>
      <c r="D130" t="s">
        <v>27</v>
      </c>
      <c r="E130">
        <v>5</v>
      </c>
      <c r="F130" s="2">
        <v>0.1</v>
      </c>
      <c r="G130" s="2" t="str">
        <f>_xlfn.XLOOKUP(D130,Products!$A$2:$A$11,Products!$B$2:$B$11)</f>
        <v>Laptop Stand</v>
      </c>
      <c r="H130" s="2" t="str">
        <f>_xlfn.XLOOKUP(D130,Products!$A$2:$A$11,Products!$C$2:$C$11)</f>
        <v>Office</v>
      </c>
      <c r="I130" s="3">
        <f>_xlfn.XLOOKUP(D130,Products!$A$2:$A$11,Products!$D$2:$D$11)</f>
        <v>35</v>
      </c>
      <c r="J130" s="3" t="str">
        <f>_xlfn.XLOOKUP(C130,Customers!$A$2:$A$101,Customers!$B$2:$B$101)</f>
        <v>Customer 006</v>
      </c>
      <c r="K130" s="3" t="str">
        <f>_xlfn.XLOOKUP(C130,Customers!$A$2:$A$101,Customers!$C$2:$C$101)</f>
        <v>Sheffield</v>
      </c>
      <c r="L130" s="3" t="str">
        <f>_xlfn.XLOOKUP(C130,Customers!$A$2:$A$101,Customers!$D$2:$D$101)</f>
        <v>Corporate</v>
      </c>
      <c r="M130" s="3">
        <f t="shared" si="3"/>
        <v>157.5</v>
      </c>
      <c r="N130" s="3">
        <f>E130*_xlfn.XLOOKUP(D130,Products!$A$2:$A$11,Products!$E$2:$E$11)</f>
        <v>100</v>
      </c>
      <c r="O130" s="3">
        <f t="shared" si="2"/>
        <v>57.5</v>
      </c>
    </row>
    <row r="131" spans="1:15" x14ac:dyDescent="0.3">
      <c r="A131" t="s">
        <v>215</v>
      </c>
      <c r="B131" s="1">
        <v>46015</v>
      </c>
      <c r="C131" t="s">
        <v>74</v>
      </c>
      <c r="D131" t="s">
        <v>33</v>
      </c>
      <c r="E131">
        <v>1</v>
      </c>
      <c r="F131" s="2">
        <v>0</v>
      </c>
      <c r="G131" s="2" t="str">
        <f>_xlfn.XLOOKUP(D131,Products!$A$2:$A$11,Products!$B$2:$B$11)</f>
        <v>Notebook Pack</v>
      </c>
      <c r="H131" s="2" t="str">
        <f>_xlfn.XLOOKUP(D131,Products!$A$2:$A$11,Products!$C$2:$C$11)</f>
        <v>Stationery</v>
      </c>
      <c r="I131" s="3">
        <f>_xlfn.XLOOKUP(D131,Products!$A$2:$A$11,Products!$D$2:$D$11)</f>
        <v>12</v>
      </c>
      <c r="J131" s="3" t="str">
        <f>_xlfn.XLOOKUP(C131,Customers!$A$2:$A$101,Customers!$B$2:$B$101)</f>
        <v>Customer 017</v>
      </c>
      <c r="K131" s="3" t="str">
        <f>_xlfn.XLOOKUP(C131,Customers!$A$2:$A$101,Customers!$C$2:$C$101)</f>
        <v>Leeds</v>
      </c>
      <c r="L131" s="3" t="str">
        <f>_xlfn.XLOOKUP(C131,Customers!$A$2:$A$101,Customers!$D$2:$D$101)</f>
        <v>Corporate</v>
      </c>
      <c r="M131" s="3">
        <f t="shared" si="3"/>
        <v>12</v>
      </c>
      <c r="N131" s="3">
        <f>E131*_xlfn.XLOOKUP(D131,Products!$A$2:$A$11,Products!$E$2:$E$11)</f>
        <v>5</v>
      </c>
      <c r="O131" s="3">
        <f t="shared" ref="O131:O194" si="4">M131-N131</f>
        <v>7</v>
      </c>
    </row>
    <row r="132" spans="1:15" x14ac:dyDescent="0.3">
      <c r="A132" t="s">
        <v>216</v>
      </c>
      <c r="B132" s="1">
        <v>45951</v>
      </c>
      <c r="C132" t="s">
        <v>58</v>
      </c>
      <c r="D132" t="s">
        <v>33</v>
      </c>
      <c r="E132">
        <v>4</v>
      </c>
      <c r="F132" s="2">
        <v>0.15</v>
      </c>
      <c r="G132" s="2" t="str">
        <f>_xlfn.XLOOKUP(D132,Products!$A$2:$A$11,Products!$B$2:$B$11)</f>
        <v>Notebook Pack</v>
      </c>
      <c r="H132" s="2" t="str">
        <f>_xlfn.XLOOKUP(D132,Products!$A$2:$A$11,Products!$C$2:$C$11)</f>
        <v>Stationery</v>
      </c>
      <c r="I132" s="3">
        <f>_xlfn.XLOOKUP(D132,Products!$A$2:$A$11,Products!$D$2:$D$11)</f>
        <v>12</v>
      </c>
      <c r="J132" s="3" t="str">
        <f>_xlfn.XLOOKUP(C132,Customers!$A$2:$A$101,Customers!$B$2:$B$101)</f>
        <v>Customer 037</v>
      </c>
      <c r="K132" s="3" t="str">
        <f>_xlfn.XLOOKUP(C132,Customers!$A$2:$A$101,Customers!$C$2:$C$101)</f>
        <v>London</v>
      </c>
      <c r="L132" s="3" t="str">
        <f>_xlfn.XLOOKUP(C132,Customers!$A$2:$A$101,Customers!$D$2:$D$101)</f>
        <v>Consumer</v>
      </c>
      <c r="M132" s="3">
        <f t="shared" ref="M132:M195" si="5">E132*I132*(1-F132)</f>
        <v>40.799999999999997</v>
      </c>
      <c r="N132" s="3">
        <f>E132*_xlfn.XLOOKUP(D132,Products!$A$2:$A$11,Products!$E$2:$E$11)</f>
        <v>20</v>
      </c>
      <c r="O132" s="3">
        <f t="shared" si="4"/>
        <v>20.799999999999997</v>
      </c>
    </row>
    <row r="133" spans="1:15" x14ac:dyDescent="0.3">
      <c r="A133" t="s">
        <v>217</v>
      </c>
      <c r="B133" s="1">
        <v>45832</v>
      </c>
      <c r="C133" t="s">
        <v>218</v>
      </c>
      <c r="D133" t="s">
        <v>27</v>
      </c>
      <c r="E133">
        <v>3</v>
      </c>
      <c r="F133" s="2">
        <v>0.15</v>
      </c>
      <c r="G133" s="2" t="str">
        <f>_xlfn.XLOOKUP(D133,Products!$A$2:$A$11,Products!$B$2:$B$11)</f>
        <v>Laptop Stand</v>
      </c>
      <c r="H133" s="2" t="str">
        <f>_xlfn.XLOOKUP(D133,Products!$A$2:$A$11,Products!$C$2:$C$11)</f>
        <v>Office</v>
      </c>
      <c r="I133" s="3">
        <f>_xlfn.XLOOKUP(D133,Products!$A$2:$A$11,Products!$D$2:$D$11)</f>
        <v>35</v>
      </c>
      <c r="J133" s="3" t="str">
        <f>_xlfn.XLOOKUP(C133,Customers!$A$2:$A$101,Customers!$B$2:$B$101)</f>
        <v>Customer 024</v>
      </c>
      <c r="K133" s="3" t="str">
        <f>_xlfn.XLOOKUP(C133,Customers!$A$2:$A$101,Customers!$C$2:$C$101)</f>
        <v>Leeds</v>
      </c>
      <c r="L133" s="3" t="str">
        <f>_xlfn.XLOOKUP(C133,Customers!$A$2:$A$101,Customers!$D$2:$D$101)</f>
        <v>Consumer</v>
      </c>
      <c r="M133" s="3">
        <f t="shared" si="5"/>
        <v>89.25</v>
      </c>
      <c r="N133" s="3">
        <f>E133*_xlfn.XLOOKUP(D133,Products!$A$2:$A$11,Products!$E$2:$E$11)</f>
        <v>60</v>
      </c>
      <c r="O133" s="3">
        <f t="shared" si="4"/>
        <v>29.25</v>
      </c>
    </row>
    <row r="134" spans="1:15" x14ac:dyDescent="0.3">
      <c r="A134" t="s">
        <v>219</v>
      </c>
      <c r="B134" s="1">
        <v>45716</v>
      </c>
      <c r="C134" t="s">
        <v>10</v>
      </c>
      <c r="D134" t="s">
        <v>16</v>
      </c>
      <c r="E134">
        <v>4</v>
      </c>
      <c r="F134" s="2">
        <v>0</v>
      </c>
      <c r="G134" s="2" t="str">
        <f>_xlfn.XLOOKUP(D134,Products!$A$2:$A$11,Products!$B$2:$B$11)</f>
        <v>Headphones</v>
      </c>
      <c r="H134" s="2" t="str">
        <f>_xlfn.XLOOKUP(D134,Products!$A$2:$A$11,Products!$C$2:$C$11)</f>
        <v>Electronics</v>
      </c>
      <c r="I134" s="3">
        <f>_xlfn.XLOOKUP(D134,Products!$A$2:$A$11,Products!$D$2:$D$11)</f>
        <v>75</v>
      </c>
      <c r="J134" s="3" t="str">
        <f>_xlfn.XLOOKUP(C134,Customers!$A$2:$A$101,Customers!$B$2:$B$101)</f>
        <v>Customer 009</v>
      </c>
      <c r="K134" s="3" t="str">
        <f>_xlfn.XLOOKUP(C134,Customers!$A$2:$A$101,Customers!$C$2:$C$101)</f>
        <v>London</v>
      </c>
      <c r="L134" s="3" t="str">
        <f>_xlfn.XLOOKUP(C134,Customers!$A$2:$A$101,Customers!$D$2:$D$101)</f>
        <v>Consumer</v>
      </c>
      <c r="M134" s="3">
        <f t="shared" si="5"/>
        <v>300</v>
      </c>
      <c r="N134" s="3">
        <f>E134*_xlfn.XLOOKUP(D134,Products!$A$2:$A$11,Products!$E$2:$E$11)</f>
        <v>160</v>
      </c>
      <c r="O134" s="3">
        <f t="shared" si="4"/>
        <v>140</v>
      </c>
    </row>
    <row r="135" spans="1:15" x14ac:dyDescent="0.3">
      <c r="A135" t="s">
        <v>220</v>
      </c>
      <c r="B135" s="1">
        <v>45953</v>
      </c>
      <c r="C135" t="s">
        <v>221</v>
      </c>
      <c r="D135" t="s">
        <v>27</v>
      </c>
      <c r="E135">
        <v>2</v>
      </c>
      <c r="F135" s="2">
        <v>0.05</v>
      </c>
      <c r="G135" s="2" t="str">
        <f>_xlfn.XLOOKUP(D135,Products!$A$2:$A$11,Products!$B$2:$B$11)</f>
        <v>Laptop Stand</v>
      </c>
      <c r="H135" s="2" t="str">
        <f>_xlfn.XLOOKUP(D135,Products!$A$2:$A$11,Products!$C$2:$C$11)</f>
        <v>Office</v>
      </c>
      <c r="I135" s="3">
        <f>_xlfn.XLOOKUP(D135,Products!$A$2:$A$11,Products!$D$2:$D$11)</f>
        <v>35</v>
      </c>
      <c r="J135" s="3" t="str">
        <f>_xlfn.XLOOKUP(C135,Customers!$A$2:$A$101,Customers!$B$2:$B$101)</f>
        <v>Customer 081</v>
      </c>
      <c r="K135" s="3" t="str">
        <f>_xlfn.XLOOKUP(C135,Customers!$A$2:$A$101,Customers!$C$2:$C$101)</f>
        <v>Sheffield</v>
      </c>
      <c r="L135" s="3" t="str">
        <f>_xlfn.XLOOKUP(C135,Customers!$A$2:$A$101,Customers!$D$2:$D$101)</f>
        <v>Consumer</v>
      </c>
      <c r="M135" s="3">
        <f t="shared" si="5"/>
        <v>66.5</v>
      </c>
      <c r="N135" s="3">
        <f>E135*_xlfn.XLOOKUP(D135,Products!$A$2:$A$11,Products!$E$2:$E$11)</f>
        <v>40</v>
      </c>
      <c r="O135" s="3">
        <f t="shared" si="4"/>
        <v>26.5</v>
      </c>
    </row>
    <row r="136" spans="1:15" x14ac:dyDescent="0.3">
      <c r="A136" t="s">
        <v>222</v>
      </c>
      <c r="B136" s="1">
        <v>45946</v>
      </c>
      <c r="C136" t="s">
        <v>213</v>
      </c>
      <c r="D136" t="s">
        <v>30</v>
      </c>
      <c r="E136">
        <v>2</v>
      </c>
      <c r="F136" s="2">
        <v>0</v>
      </c>
      <c r="G136" s="2" t="str">
        <f>_xlfn.XLOOKUP(D136,Products!$A$2:$A$11,Products!$B$2:$B$11)</f>
        <v>Wireless Mouse</v>
      </c>
      <c r="H136" s="2" t="str">
        <f>_xlfn.XLOOKUP(D136,Products!$A$2:$A$11,Products!$C$2:$C$11)</f>
        <v>Electronics</v>
      </c>
      <c r="I136" s="3">
        <f>_xlfn.XLOOKUP(D136,Products!$A$2:$A$11,Products!$D$2:$D$11)</f>
        <v>25</v>
      </c>
      <c r="J136" s="3" t="str">
        <f>_xlfn.XLOOKUP(C136,Customers!$A$2:$A$101,Customers!$B$2:$B$101)</f>
        <v>Customer 039</v>
      </c>
      <c r="K136" s="3" t="str">
        <f>_xlfn.XLOOKUP(C136,Customers!$A$2:$A$101,Customers!$C$2:$C$101)</f>
        <v>Birmingham</v>
      </c>
      <c r="L136" s="3" t="str">
        <f>_xlfn.XLOOKUP(C136,Customers!$A$2:$A$101,Customers!$D$2:$D$101)</f>
        <v>Small Business</v>
      </c>
      <c r="M136" s="3">
        <f t="shared" si="5"/>
        <v>50</v>
      </c>
      <c r="N136" s="3">
        <f>E136*_xlfn.XLOOKUP(D136,Products!$A$2:$A$11,Products!$E$2:$E$11)</f>
        <v>24</v>
      </c>
      <c r="O136" s="3">
        <f t="shared" si="4"/>
        <v>26</v>
      </c>
    </row>
    <row r="137" spans="1:15" x14ac:dyDescent="0.3">
      <c r="A137" t="s">
        <v>223</v>
      </c>
      <c r="B137" s="1">
        <v>45943</v>
      </c>
      <c r="C137" t="s">
        <v>224</v>
      </c>
      <c r="D137" t="s">
        <v>16</v>
      </c>
      <c r="E137">
        <v>5</v>
      </c>
      <c r="F137" s="2">
        <v>0.05</v>
      </c>
      <c r="G137" s="2" t="str">
        <f>_xlfn.XLOOKUP(D137,Products!$A$2:$A$11,Products!$B$2:$B$11)</f>
        <v>Headphones</v>
      </c>
      <c r="H137" s="2" t="str">
        <f>_xlfn.XLOOKUP(D137,Products!$A$2:$A$11,Products!$C$2:$C$11)</f>
        <v>Electronics</v>
      </c>
      <c r="I137" s="3">
        <f>_xlfn.XLOOKUP(D137,Products!$A$2:$A$11,Products!$D$2:$D$11)</f>
        <v>75</v>
      </c>
      <c r="J137" s="3" t="str">
        <f>_xlfn.XLOOKUP(C137,Customers!$A$2:$A$101,Customers!$B$2:$B$101)</f>
        <v>Customer 098</v>
      </c>
      <c r="K137" s="3" t="str">
        <f>_xlfn.XLOOKUP(C137,Customers!$A$2:$A$101,Customers!$C$2:$C$101)</f>
        <v>Leeds</v>
      </c>
      <c r="L137" s="3" t="str">
        <f>_xlfn.XLOOKUP(C137,Customers!$A$2:$A$101,Customers!$D$2:$D$101)</f>
        <v>Consumer</v>
      </c>
      <c r="M137" s="3">
        <f t="shared" si="5"/>
        <v>356.25</v>
      </c>
      <c r="N137" s="3">
        <f>E137*_xlfn.XLOOKUP(D137,Products!$A$2:$A$11,Products!$E$2:$E$11)</f>
        <v>200</v>
      </c>
      <c r="O137" s="3">
        <f t="shared" si="4"/>
        <v>156.25</v>
      </c>
    </row>
    <row r="138" spans="1:15" x14ac:dyDescent="0.3">
      <c r="A138" t="s">
        <v>225</v>
      </c>
      <c r="B138" s="1">
        <v>45925</v>
      </c>
      <c r="C138" t="s">
        <v>56</v>
      </c>
      <c r="D138" t="s">
        <v>33</v>
      </c>
      <c r="E138">
        <v>4</v>
      </c>
      <c r="F138" s="2">
        <v>0.1</v>
      </c>
      <c r="G138" s="2" t="str">
        <f>_xlfn.XLOOKUP(D138,Products!$A$2:$A$11,Products!$B$2:$B$11)</f>
        <v>Notebook Pack</v>
      </c>
      <c r="H138" s="2" t="str">
        <f>_xlfn.XLOOKUP(D138,Products!$A$2:$A$11,Products!$C$2:$C$11)</f>
        <v>Stationery</v>
      </c>
      <c r="I138" s="3">
        <f>_xlfn.XLOOKUP(D138,Products!$A$2:$A$11,Products!$D$2:$D$11)</f>
        <v>12</v>
      </c>
      <c r="J138" s="3" t="str">
        <f>_xlfn.XLOOKUP(C138,Customers!$A$2:$A$101,Customers!$B$2:$B$101)</f>
        <v>Customer 049</v>
      </c>
      <c r="K138" s="3" t="str">
        <f>_xlfn.XLOOKUP(C138,Customers!$A$2:$A$101,Customers!$C$2:$C$101)</f>
        <v>Manchester</v>
      </c>
      <c r="L138" s="3" t="str">
        <f>_xlfn.XLOOKUP(C138,Customers!$A$2:$A$101,Customers!$D$2:$D$101)</f>
        <v>Small Business</v>
      </c>
      <c r="M138" s="3">
        <f t="shared" si="5"/>
        <v>43.2</v>
      </c>
      <c r="N138" s="3">
        <f>E138*_xlfn.XLOOKUP(D138,Products!$A$2:$A$11,Products!$E$2:$E$11)</f>
        <v>20</v>
      </c>
      <c r="O138" s="3">
        <f t="shared" si="4"/>
        <v>23.200000000000003</v>
      </c>
    </row>
    <row r="139" spans="1:15" x14ac:dyDescent="0.3">
      <c r="A139" t="s">
        <v>226</v>
      </c>
      <c r="B139" s="1">
        <v>45959</v>
      </c>
      <c r="C139" t="s">
        <v>39</v>
      </c>
      <c r="D139" t="s">
        <v>60</v>
      </c>
      <c r="E139">
        <v>5</v>
      </c>
      <c r="F139" s="2">
        <v>0</v>
      </c>
      <c r="G139" s="2" t="str">
        <f>_xlfn.XLOOKUP(D139,Products!$A$2:$A$11,Products!$B$2:$B$11)</f>
        <v>Water Bottle</v>
      </c>
      <c r="H139" s="2" t="str">
        <f>_xlfn.XLOOKUP(D139,Products!$A$2:$A$11,Products!$C$2:$C$11)</f>
        <v>Lifestyle</v>
      </c>
      <c r="I139" s="3">
        <f>_xlfn.XLOOKUP(D139,Products!$A$2:$A$11,Products!$D$2:$D$11)</f>
        <v>18</v>
      </c>
      <c r="J139" s="3" t="str">
        <f>_xlfn.XLOOKUP(C139,Customers!$A$2:$A$101,Customers!$B$2:$B$101)</f>
        <v>Customer 055</v>
      </c>
      <c r="K139" s="3" t="str">
        <f>_xlfn.XLOOKUP(C139,Customers!$A$2:$A$101,Customers!$C$2:$C$101)</f>
        <v>London</v>
      </c>
      <c r="L139" s="3" t="str">
        <f>_xlfn.XLOOKUP(C139,Customers!$A$2:$A$101,Customers!$D$2:$D$101)</f>
        <v>Small Business</v>
      </c>
      <c r="M139" s="3">
        <f t="shared" si="5"/>
        <v>90</v>
      </c>
      <c r="N139" s="3">
        <f>E139*_xlfn.XLOOKUP(D139,Products!$A$2:$A$11,Products!$E$2:$E$11)</f>
        <v>35</v>
      </c>
      <c r="O139" s="3">
        <f t="shared" si="4"/>
        <v>55</v>
      </c>
    </row>
    <row r="140" spans="1:15" x14ac:dyDescent="0.3">
      <c r="A140" t="s">
        <v>227</v>
      </c>
      <c r="B140" s="1">
        <v>45970</v>
      </c>
      <c r="C140" t="s">
        <v>62</v>
      </c>
      <c r="D140" t="s">
        <v>30</v>
      </c>
      <c r="E140">
        <v>2</v>
      </c>
      <c r="F140" s="2">
        <v>0.05</v>
      </c>
      <c r="G140" s="2" t="str">
        <f>_xlfn.XLOOKUP(D140,Products!$A$2:$A$11,Products!$B$2:$B$11)</f>
        <v>Wireless Mouse</v>
      </c>
      <c r="H140" s="2" t="str">
        <f>_xlfn.XLOOKUP(D140,Products!$A$2:$A$11,Products!$C$2:$C$11)</f>
        <v>Electronics</v>
      </c>
      <c r="I140" s="3">
        <f>_xlfn.XLOOKUP(D140,Products!$A$2:$A$11,Products!$D$2:$D$11)</f>
        <v>25</v>
      </c>
      <c r="J140" s="3" t="str">
        <f>_xlfn.XLOOKUP(C140,Customers!$A$2:$A$101,Customers!$B$2:$B$101)</f>
        <v>Customer 095</v>
      </c>
      <c r="K140" s="3" t="str">
        <f>_xlfn.XLOOKUP(C140,Customers!$A$2:$A$101,Customers!$C$2:$C$101)</f>
        <v>Manchester</v>
      </c>
      <c r="L140" s="3" t="str">
        <f>_xlfn.XLOOKUP(C140,Customers!$A$2:$A$101,Customers!$D$2:$D$101)</f>
        <v>Corporate</v>
      </c>
      <c r="M140" s="3">
        <f t="shared" si="5"/>
        <v>47.5</v>
      </c>
      <c r="N140" s="3">
        <f>E140*_xlfn.XLOOKUP(D140,Products!$A$2:$A$11,Products!$E$2:$E$11)</f>
        <v>24</v>
      </c>
      <c r="O140" s="3">
        <f t="shared" si="4"/>
        <v>23.5</v>
      </c>
    </row>
    <row r="141" spans="1:15" x14ac:dyDescent="0.3">
      <c r="A141" t="s">
        <v>228</v>
      </c>
      <c r="B141" s="1">
        <v>45793</v>
      </c>
      <c r="C141" t="s">
        <v>132</v>
      </c>
      <c r="D141" t="s">
        <v>30</v>
      </c>
      <c r="E141">
        <v>2</v>
      </c>
      <c r="F141" s="2">
        <v>0.05</v>
      </c>
      <c r="G141" s="2" t="str">
        <f>_xlfn.XLOOKUP(D141,Products!$A$2:$A$11,Products!$B$2:$B$11)</f>
        <v>Wireless Mouse</v>
      </c>
      <c r="H141" s="2" t="str">
        <f>_xlfn.XLOOKUP(D141,Products!$A$2:$A$11,Products!$C$2:$C$11)</f>
        <v>Electronics</v>
      </c>
      <c r="I141" s="3">
        <f>_xlfn.XLOOKUP(D141,Products!$A$2:$A$11,Products!$D$2:$D$11)</f>
        <v>25</v>
      </c>
      <c r="J141" s="3" t="str">
        <f>_xlfn.XLOOKUP(C141,Customers!$A$2:$A$101,Customers!$B$2:$B$101)</f>
        <v>Customer 085</v>
      </c>
      <c r="K141" s="3" t="str">
        <f>_xlfn.XLOOKUP(C141,Customers!$A$2:$A$101,Customers!$C$2:$C$101)</f>
        <v>Birmingham</v>
      </c>
      <c r="L141" s="3" t="str">
        <f>_xlfn.XLOOKUP(C141,Customers!$A$2:$A$101,Customers!$D$2:$D$101)</f>
        <v>Small Business</v>
      </c>
      <c r="M141" s="3">
        <f t="shared" si="5"/>
        <v>47.5</v>
      </c>
      <c r="N141" s="3">
        <f>E141*_xlfn.XLOOKUP(D141,Products!$A$2:$A$11,Products!$E$2:$E$11)</f>
        <v>24</v>
      </c>
      <c r="O141" s="3">
        <f t="shared" si="4"/>
        <v>23.5</v>
      </c>
    </row>
    <row r="142" spans="1:15" x14ac:dyDescent="0.3">
      <c r="A142" t="s">
        <v>229</v>
      </c>
      <c r="B142" s="1">
        <v>45746</v>
      </c>
      <c r="C142" t="s">
        <v>127</v>
      </c>
      <c r="D142" t="s">
        <v>30</v>
      </c>
      <c r="E142">
        <v>2</v>
      </c>
      <c r="F142" s="2">
        <v>0</v>
      </c>
      <c r="G142" s="2" t="str">
        <f>_xlfn.XLOOKUP(D142,Products!$A$2:$A$11,Products!$B$2:$B$11)</f>
        <v>Wireless Mouse</v>
      </c>
      <c r="H142" s="2" t="str">
        <f>_xlfn.XLOOKUP(D142,Products!$A$2:$A$11,Products!$C$2:$C$11)</f>
        <v>Electronics</v>
      </c>
      <c r="I142" s="3">
        <f>_xlfn.XLOOKUP(D142,Products!$A$2:$A$11,Products!$D$2:$D$11)</f>
        <v>25</v>
      </c>
      <c r="J142" s="3" t="str">
        <f>_xlfn.XLOOKUP(C142,Customers!$A$2:$A$101,Customers!$B$2:$B$101)</f>
        <v>Customer 071</v>
      </c>
      <c r="K142" s="3" t="str">
        <f>_xlfn.XLOOKUP(C142,Customers!$A$2:$A$101,Customers!$C$2:$C$101)</f>
        <v>Leeds</v>
      </c>
      <c r="L142" s="3" t="str">
        <f>_xlfn.XLOOKUP(C142,Customers!$A$2:$A$101,Customers!$D$2:$D$101)</f>
        <v>Consumer</v>
      </c>
      <c r="M142" s="3">
        <f t="shared" si="5"/>
        <v>50</v>
      </c>
      <c r="N142" s="3">
        <f>E142*_xlfn.XLOOKUP(D142,Products!$A$2:$A$11,Products!$E$2:$E$11)</f>
        <v>24</v>
      </c>
      <c r="O142" s="3">
        <f t="shared" si="4"/>
        <v>26</v>
      </c>
    </row>
    <row r="143" spans="1:15" x14ac:dyDescent="0.3">
      <c r="A143" t="s">
        <v>230</v>
      </c>
      <c r="B143" s="1">
        <v>45867</v>
      </c>
      <c r="C143" t="s">
        <v>45</v>
      </c>
      <c r="D143" t="s">
        <v>8</v>
      </c>
      <c r="E143">
        <v>4</v>
      </c>
      <c r="F143" s="2">
        <v>0.1</v>
      </c>
      <c r="G143" s="2" t="str">
        <f>_xlfn.XLOOKUP(D143,Products!$A$2:$A$11,Products!$B$2:$B$11)</f>
        <v>USB-C Hub</v>
      </c>
      <c r="H143" s="2" t="str">
        <f>_xlfn.XLOOKUP(D143,Products!$A$2:$A$11,Products!$C$2:$C$11)</f>
        <v>Electronics</v>
      </c>
      <c r="I143" s="3">
        <f>_xlfn.XLOOKUP(D143,Products!$A$2:$A$11,Products!$D$2:$D$11)</f>
        <v>40</v>
      </c>
      <c r="J143" s="3" t="str">
        <f>_xlfn.XLOOKUP(C143,Customers!$A$2:$A$101,Customers!$B$2:$B$101)</f>
        <v>Customer 058</v>
      </c>
      <c r="K143" s="3" t="str">
        <f>_xlfn.XLOOKUP(C143,Customers!$A$2:$A$101,Customers!$C$2:$C$101)</f>
        <v>Bristol</v>
      </c>
      <c r="L143" s="3" t="str">
        <f>_xlfn.XLOOKUP(C143,Customers!$A$2:$A$101,Customers!$D$2:$D$101)</f>
        <v>Corporate</v>
      </c>
      <c r="M143" s="3">
        <f t="shared" si="5"/>
        <v>144</v>
      </c>
      <c r="N143" s="3">
        <f>E143*_xlfn.XLOOKUP(D143,Products!$A$2:$A$11,Products!$E$2:$E$11)</f>
        <v>76</v>
      </c>
      <c r="O143" s="3">
        <f t="shared" si="4"/>
        <v>68</v>
      </c>
    </row>
    <row r="144" spans="1:15" x14ac:dyDescent="0.3">
      <c r="A144" t="s">
        <v>231</v>
      </c>
      <c r="B144" s="1">
        <v>45674</v>
      </c>
      <c r="C144" t="s">
        <v>108</v>
      </c>
      <c r="D144" t="s">
        <v>60</v>
      </c>
      <c r="E144">
        <v>3</v>
      </c>
      <c r="F144" s="2">
        <v>0.15</v>
      </c>
      <c r="G144" s="2" t="str">
        <f>_xlfn.XLOOKUP(D144,Products!$A$2:$A$11,Products!$B$2:$B$11)</f>
        <v>Water Bottle</v>
      </c>
      <c r="H144" s="2" t="str">
        <f>_xlfn.XLOOKUP(D144,Products!$A$2:$A$11,Products!$C$2:$C$11)</f>
        <v>Lifestyle</v>
      </c>
      <c r="I144" s="3">
        <f>_xlfn.XLOOKUP(D144,Products!$A$2:$A$11,Products!$D$2:$D$11)</f>
        <v>18</v>
      </c>
      <c r="J144" s="3" t="str">
        <f>_xlfn.XLOOKUP(C144,Customers!$A$2:$A$101,Customers!$B$2:$B$101)</f>
        <v>Customer 030</v>
      </c>
      <c r="K144" s="3" t="str">
        <f>_xlfn.XLOOKUP(C144,Customers!$A$2:$A$101,Customers!$C$2:$C$101)</f>
        <v>London</v>
      </c>
      <c r="L144" s="3" t="str">
        <f>_xlfn.XLOOKUP(C144,Customers!$A$2:$A$101,Customers!$D$2:$D$101)</f>
        <v>Corporate</v>
      </c>
      <c r="M144" s="3">
        <f t="shared" si="5"/>
        <v>45.9</v>
      </c>
      <c r="N144" s="3">
        <f>E144*_xlfn.XLOOKUP(D144,Products!$A$2:$A$11,Products!$E$2:$E$11)</f>
        <v>21</v>
      </c>
      <c r="O144" s="3">
        <f t="shared" si="4"/>
        <v>24.9</v>
      </c>
    </row>
    <row r="145" spans="1:15" x14ac:dyDescent="0.3">
      <c r="A145" t="s">
        <v>232</v>
      </c>
      <c r="B145" s="1">
        <v>45694</v>
      </c>
      <c r="C145" t="s">
        <v>233</v>
      </c>
      <c r="D145" t="s">
        <v>22</v>
      </c>
      <c r="E145">
        <v>3</v>
      </c>
      <c r="F145" s="2">
        <v>0.05</v>
      </c>
      <c r="G145" s="2" t="str">
        <f>_xlfn.XLOOKUP(D145,Products!$A$2:$A$11,Products!$B$2:$B$11)</f>
        <v>Desk Lamp</v>
      </c>
      <c r="H145" s="2" t="str">
        <f>_xlfn.XLOOKUP(D145,Products!$A$2:$A$11,Products!$C$2:$C$11)</f>
        <v>Office</v>
      </c>
      <c r="I145" s="3">
        <f>_xlfn.XLOOKUP(D145,Products!$A$2:$A$11,Products!$D$2:$D$11)</f>
        <v>30</v>
      </c>
      <c r="J145" s="3" t="str">
        <f>_xlfn.XLOOKUP(C145,Customers!$A$2:$A$101,Customers!$B$2:$B$101)</f>
        <v>Customer 088</v>
      </c>
      <c r="K145" s="3" t="str">
        <f>_xlfn.XLOOKUP(C145,Customers!$A$2:$A$101,Customers!$C$2:$C$101)</f>
        <v>Sheffield</v>
      </c>
      <c r="L145" s="3" t="str">
        <f>_xlfn.XLOOKUP(C145,Customers!$A$2:$A$101,Customers!$D$2:$D$101)</f>
        <v>Small Business</v>
      </c>
      <c r="M145" s="3">
        <f t="shared" si="5"/>
        <v>85.5</v>
      </c>
      <c r="N145" s="3">
        <f>E145*_xlfn.XLOOKUP(D145,Products!$A$2:$A$11,Products!$E$2:$E$11)</f>
        <v>45</v>
      </c>
      <c r="O145" s="3">
        <f t="shared" si="4"/>
        <v>40.5</v>
      </c>
    </row>
    <row r="146" spans="1:15" x14ac:dyDescent="0.3">
      <c r="A146" t="s">
        <v>234</v>
      </c>
      <c r="B146" s="1">
        <v>45875</v>
      </c>
      <c r="C146" t="s">
        <v>113</v>
      </c>
      <c r="D146" t="s">
        <v>11</v>
      </c>
      <c r="E146">
        <v>2</v>
      </c>
      <c r="F146" s="2">
        <v>0.05</v>
      </c>
      <c r="G146" s="2" t="str">
        <f>_xlfn.XLOOKUP(D146,Products!$A$2:$A$11,Products!$B$2:$B$11)</f>
        <v>Office Chair</v>
      </c>
      <c r="H146" s="2" t="str">
        <f>_xlfn.XLOOKUP(D146,Products!$A$2:$A$11,Products!$C$2:$C$11)</f>
        <v>Office</v>
      </c>
      <c r="I146" s="3">
        <f>_xlfn.XLOOKUP(D146,Products!$A$2:$A$11,Products!$D$2:$D$11)</f>
        <v>180</v>
      </c>
      <c r="J146" s="3" t="str">
        <f>_xlfn.XLOOKUP(C146,Customers!$A$2:$A$101,Customers!$B$2:$B$101)</f>
        <v>Customer 015</v>
      </c>
      <c r="K146" s="3" t="str">
        <f>_xlfn.XLOOKUP(C146,Customers!$A$2:$A$101,Customers!$C$2:$C$101)</f>
        <v>Sheffield</v>
      </c>
      <c r="L146" s="3" t="str">
        <f>_xlfn.XLOOKUP(C146,Customers!$A$2:$A$101,Customers!$D$2:$D$101)</f>
        <v>Corporate</v>
      </c>
      <c r="M146" s="3">
        <f t="shared" si="5"/>
        <v>342</v>
      </c>
      <c r="N146" s="3">
        <f>E146*_xlfn.XLOOKUP(D146,Products!$A$2:$A$11,Products!$E$2:$E$11)</f>
        <v>210</v>
      </c>
      <c r="O146" s="3">
        <f t="shared" si="4"/>
        <v>132</v>
      </c>
    </row>
    <row r="147" spans="1:15" x14ac:dyDescent="0.3">
      <c r="A147" t="s">
        <v>235</v>
      </c>
      <c r="B147" s="1">
        <v>45794</v>
      </c>
      <c r="C147" t="s">
        <v>135</v>
      </c>
      <c r="D147" t="s">
        <v>30</v>
      </c>
      <c r="E147">
        <v>1</v>
      </c>
      <c r="F147" s="2">
        <v>0.05</v>
      </c>
      <c r="G147" s="2" t="str">
        <f>_xlfn.XLOOKUP(D147,Products!$A$2:$A$11,Products!$B$2:$B$11)</f>
        <v>Wireless Mouse</v>
      </c>
      <c r="H147" s="2" t="str">
        <f>_xlfn.XLOOKUP(D147,Products!$A$2:$A$11,Products!$C$2:$C$11)</f>
        <v>Electronics</v>
      </c>
      <c r="I147" s="3">
        <f>_xlfn.XLOOKUP(D147,Products!$A$2:$A$11,Products!$D$2:$D$11)</f>
        <v>25</v>
      </c>
      <c r="J147" s="3" t="str">
        <f>_xlfn.XLOOKUP(C147,Customers!$A$2:$A$101,Customers!$B$2:$B$101)</f>
        <v>Customer 019</v>
      </c>
      <c r="K147" s="3" t="str">
        <f>_xlfn.XLOOKUP(C147,Customers!$A$2:$A$101,Customers!$C$2:$C$101)</f>
        <v>Manchester</v>
      </c>
      <c r="L147" s="3" t="str">
        <f>_xlfn.XLOOKUP(C147,Customers!$A$2:$A$101,Customers!$D$2:$D$101)</f>
        <v>Corporate</v>
      </c>
      <c r="M147" s="3">
        <f t="shared" si="5"/>
        <v>23.75</v>
      </c>
      <c r="N147" s="3">
        <f>E147*_xlfn.XLOOKUP(D147,Products!$A$2:$A$11,Products!$E$2:$E$11)</f>
        <v>12</v>
      </c>
      <c r="O147" s="3">
        <f t="shared" si="4"/>
        <v>11.75</v>
      </c>
    </row>
    <row r="148" spans="1:15" x14ac:dyDescent="0.3">
      <c r="A148" t="s">
        <v>236</v>
      </c>
      <c r="B148" s="1">
        <v>45815</v>
      </c>
      <c r="C148" t="s">
        <v>237</v>
      </c>
      <c r="D148" t="s">
        <v>8</v>
      </c>
      <c r="E148">
        <v>3</v>
      </c>
      <c r="F148" s="2">
        <v>0.15</v>
      </c>
      <c r="G148" s="2" t="str">
        <f>_xlfn.XLOOKUP(D148,Products!$A$2:$A$11,Products!$B$2:$B$11)</f>
        <v>USB-C Hub</v>
      </c>
      <c r="H148" s="2" t="str">
        <f>_xlfn.XLOOKUP(D148,Products!$A$2:$A$11,Products!$C$2:$C$11)</f>
        <v>Electronics</v>
      </c>
      <c r="I148" s="3">
        <f>_xlfn.XLOOKUP(D148,Products!$A$2:$A$11,Products!$D$2:$D$11)</f>
        <v>40</v>
      </c>
      <c r="J148" s="3" t="str">
        <f>_xlfn.XLOOKUP(C148,Customers!$A$2:$A$101,Customers!$B$2:$B$101)</f>
        <v>Customer 077</v>
      </c>
      <c r="K148" s="3" t="str">
        <f>_xlfn.XLOOKUP(C148,Customers!$A$2:$A$101,Customers!$C$2:$C$101)</f>
        <v>Leeds</v>
      </c>
      <c r="L148" s="3" t="str">
        <f>_xlfn.XLOOKUP(C148,Customers!$A$2:$A$101,Customers!$D$2:$D$101)</f>
        <v>Corporate</v>
      </c>
      <c r="M148" s="3">
        <f t="shared" si="5"/>
        <v>102</v>
      </c>
      <c r="N148" s="3">
        <f>E148*_xlfn.XLOOKUP(D148,Products!$A$2:$A$11,Products!$E$2:$E$11)</f>
        <v>57</v>
      </c>
      <c r="O148" s="3">
        <f t="shared" si="4"/>
        <v>45</v>
      </c>
    </row>
    <row r="149" spans="1:15" x14ac:dyDescent="0.3">
      <c r="A149" t="s">
        <v>238</v>
      </c>
      <c r="B149" s="1">
        <v>45721</v>
      </c>
      <c r="C149" t="s">
        <v>48</v>
      </c>
      <c r="D149" t="s">
        <v>60</v>
      </c>
      <c r="E149">
        <v>4</v>
      </c>
      <c r="F149" s="2">
        <v>0.1</v>
      </c>
      <c r="G149" s="2" t="str">
        <f>_xlfn.XLOOKUP(D149,Products!$A$2:$A$11,Products!$B$2:$B$11)</f>
        <v>Water Bottle</v>
      </c>
      <c r="H149" s="2" t="str">
        <f>_xlfn.XLOOKUP(D149,Products!$A$2:$A$11,Products!$C$2:$C$11)</f>
        <v>Lifestyle</v>
      </c>
      <c r="I149" s="3">
        <f>_xlfn.XLOOKUP(D149,Products!$A$2:$A$11,Products!$D$2:$D$11)</f>
        <v>18</v>
      </c>
      <c r="J149" s="3" t="str">
        <f>_xlfn.XLOOKUP(C149,Customers!$A$2:$A$101,Customers!$B$2:$B$101)</f>
        <v>Customer 060</v>
      </c>
      <c r="K149" s="3" t="str">
        <f>_xlfn.XLOOKUP(C149,Customers!$A$2:$A$101,Customers!$C$2:$C$101)</f>
        <v>Sheffield</v>
      </c>
      <c r="L149" s="3" t="str">
        <f>_xlfn.XLOOKUP(C149,Customers!$A$2:$A$101,Customers!$D$2:$D$101)</f>
        <v>Small Business</v>
      </c>
      <c r="M149" s="3">
        <f t="shared" si="5"/>
        <v>64.8</v>
      </c>
      <c r="N149" s="3">
        <f>E149*_xlfn.XLOOKUP(D149,Products!$A$2:$A$11,Products!$E$2:$E$11)</f>
        <v>28</v>
      </c>
      <c r="O149" s="3">
        <f t="shared" si="4"/>
        <v>36.799999999999997</v>
      </c>
    </row>
    <row r="150" spans="1:15" x14ac:dyDescent="0.3">
      <c r="A150" t="s">
        <v>239</v>
      </c>
      <c r="B150" s="1">
        <v>45914</v>
      </c>
      <c r="C150" t="s">
        <v>240</v>
      </c>
      <c r="D150" t="s">
        <v>33</v>
      </c>
      <c r="E150">
        <v>4</v>
      </c>
      <c r="F150" s="2">
        <v>0</v>
      </c>
      <c r="G150" s="2" t="str">
        <f>_xlfn.XLOOKUP(D150,Products!$A$2:$A$11,Products!$B$2:$B$11)</f>
        <v>Notebook Pack</v>
      </c>
      <c r="H150" s="2" t="str">
        <f>_xlfn.XLOOKUP(D150,Products!$A$2:$A$11,Products!$C$2:$C$11)</f>
        <v>Stationery</v>
      </c>
      <c r="I150" s="3">
        <f>_xlfn.XLOOKUP(D150,Products!$A$2:$A$11,Products!$D$2:$D$11)</f>
        <v>12</v>
      </c>
      <c r="J150" s="3" t="str">
        <f>_xlfn.XLOOKUP(C150,Customers!$A$2:$A$101,Customers!$B$2:$B$101)</f>
        <v>Customer 070</v>
      </c>
      <c r="K150" s="3" t="str">
        <f>_xlfn.XLOOKUP(C150,Customers!$A$2:$A$101,Customers!$C$2:$C$101)</f>
        <v>Manchester</v>
      </c>
      <c r="L150" s="3" t="str">
        <f>_xlfn.XLOOKUP(C150,Customers!$A$2:$A$101,Customers!$D$2:$D$101)</f>
        <v>Corporate</v>
      </c>
      <c r="M150" s="3">
        <f t="shared" si="5"/>
        <v>48</v>
      </c>
      <c r="N150" s="3">
        <f>E150*_xlfn.XLOOKUP(D150,Products!$A$2:$A$11,Products!$E$2:$E$11)</f>
        <v>20</v>
      </c>
      <c r="O150" s="3">
        <f t="shared" si="4"/>
        <v>28</v>
      </c>
    </row>
    <row r="151" spans="1:15" x14ac:dyDescent="0.3">
      <c r="A151" t="s">
        <v>241</v>
      </c>
      <c r="B151" s="1">
        <v>45964</v>
      </c>
      <c r="C151" t="s">
        <v>173</v>
      </c>
      <c r="D151" t="s">
        <v>16</v>
      </c>
      <c r="E151">
        <v>3</v>
      </c>
      <c r="F151" s="2">
        <v>0.1</v>
      </c>
      <c r="G151" s="2" t="str">
        <f>_xlfn.XLOOKUP(D151,Products!$A$2:$A$11,Products!$B$2:$B$11)</f>
        <v>Headphones</v>
      </c>
      <c r="H151" s="2" t="str">
        <f>_xlfn.XLOOKUP(D151,Products!$A$2:$A$11,Products!$C$2:$C$11)</f>
        <v>Electronics</v>
      </c>
      <c r="I151" s="3">
        <f>_xlfn.XLOOKUP(D151,Products!$A$2:$A$11,Products!$D$2:$D$11)</f>
        <v>75</v>
      </c>
      <c r="J151" s="3" t="str">
        <f>_xlfn.XLOOKUP(C151,Customers!$A$2:$A$101,Customers!$B$2:$B$101)</f>
        <v>Customer 006</v>
      </c>
      <c r="K151" s="3" t="str">
        <f>_xlfn.XLOOKUP(C151,Customers!$A$2:$A$101,Customers!$C$2:$C$101)</f>
        <v>Sheffield</v>
      </c>
      <c r="L151" s="3" t="str">
        <f>_xlfn.XLOOKUP(C151,Customers!$A$2:$A$101,Customers!$D$2:$D$101)</f>
        <v>Corporate</v>
      </c>
      <c r="M151" s="3">
        <f t="shared" si="5"/>
        <v>202.5</v>
      </c>
      <c r="N151" s="3">
        <f>E151*_xlfn.XLOOKUP(D151,Products!$A$2:$A$11,Products!$E$2:$E$11)</f>
        <v>120</v>
      </c>
      <c r="O151" s="3">
        <f t="shared" si="4"/>
        <v>82.5</v>
      </c>
    </row>
    <row r="152" spans="1:15" x14ac:dyDescent="0.3">
      <c r="A152" t="s">
        <v>242</v>
      </c>
      <c r="B152" s="1">
        <v>45671</v>
      </c>
      <c r="C152" t="s">
        <v>194</v>
      </c>
      <c r="D152" t="s">
        <v>22</v>
      </c>
      <c r="E152">
        <v>5</v>
      </c>
      <c r="F152" s="2">
        <v>0</v>
      </c>
      <c r="G152" s="2" t="str">
        <f>_xlfn.XLOOKUP(D152,Products!$A$2:$A$11,Products!$B$2:$B$11)</f>
        <v>Desk Lamp</v>
      </c>
      <c r="H152" s="2" t="str">
        <f>_xlfn.XLOOKUP(D152,Products!$A$2:$A$11,Products!$C$2:$C$11)</f>
        <v>Office</v>
      </c>
      <c r="I152" s="3">
        <f>_xlfn.XLOOKUP(D152,Products!$A$2:$A$11,Products!$D$2:$D$11)</f>
        <v>30</v>
      </c>
      <c r="J152" s="3" t="str">
        <f>_xlfn.XLOOKUP(C152,Customers!$A$2:$A$101,Customers!$B$2:$B$101)</f>
        <v>Customer 012</v>
      </c>
      <c r="K152" s="3" t="str">
        <f>_xlfn.XLOOKUP(C152,Customers!$A$2:$A$101,Customers!$C$2:$C$101)</f>
        <v>Bristol</v>
      </c>
      <c r="L152" s="3" t="str">
        <f>_xlfn.XLOOKUP(C152,Customers!$A$2:$A$101,Customers!$D$2:$D$101)</f>
        <v>Consumer</v>
      </c>
      <c r="M152" s="3">
        <f t="shared" si="5"/>
        <v>150</v>
      </c>
      <c r="N152" s="3">
        <f>E152*_xlfn.XLOOKUP(D152,Products!$A$2:$A$11,Products!$E$2:$E$11)</f>
        <v>75</v>
      </c>
      <c r="O152" s="3">
        <f t="shared" si="4"/>
        <v>75</v>
      </c>
    </row>
    <row r="153" spans="1:15" x14ac:dyDescent="0.3">
      <c r="A153" t="s">
        <v>243</v>
      </c>
      <c r="B153" s="1">
        <v>46002</v>
      </c>
      <c r="C153" t="s">
        <v>244</v>
      </c>
      <c r="D153" t="s">
        <v>8</v>
      </c>
      <c r="E153">
        <v>1</v>
      </c>
      <c r="F153" s="2">
        <v>0.05</v>
      </c>
      <c r="G153" s="2" t="str">
        <f>_xlfn.XLOOKUP(D153,Products!$A$2:$A$11,Products!$B$2:$B$11)</f>
        <v>USB-C Hub</v>
      </c>
      <c r="H153" s="2" t="str">
        <f>_xlfn.XLOOKUP(D153,Products!$A$2:$A$11,Products!$C$2:$C$11)</f>
        <v>Electronics</v>
      </c>
      <c r="I153" s="3">
        <f>_xlfn.XLOOKUP(D153,Products!$A$2:$A$11,Products!$D$2:$D$11)</f>
        <v>40</v>
      </c>
      <c r="J153" s="3" t="str">
        <f>_xlfn.XLOOKUP(C153,Customers!$A$2:$A$101,Customers!$B$2:$B$101)</f>
        <v>Customer 035</v>
      </c>
      <c r="K153" s="3" t="str">
        <f>_xlfn.XLOOKUP(C153,Customers!$A$2:$A$101,Customers!$C$2:$C$101)</f>
        <v>London</v>
      </c>
      <c r="L153" s="3" t="str">
        <f>_xlfn.XLOOKUP(C153,Customers!$A$2:$A$101,Customers!$D$2:$D$101)</f>
        <v>Corporate</v>
      </c>
      <c r="M153" s="3">
        <f t="shared" si="5"/>
        <v>38</v>
      </c>
      <c r="N153" s="3">
        <f>E153*_xlfn.XLOOKUP(D153,Products!$A$2:$A$11,Products!$E$2:$E$11)</f>
        <v>19</v>
      </c>
      <c r="O153" s="3">
        <f t="shared" si="4"/>
        <v>19</v>
      </c>
    </row>
    <row r="154" spans="1:15" x14ac:dyDescent="0.3">
      <c r="A154" t="s">
        <v>245</v>
      </c>
      <c r="B154" s="1">
        <v>45898</v>
      </c>
      <c r="C154" t="s">
        <v>246</v>
      </c>
      <c r="D154" t="s">
        <v>33</v>
      </c>
      <c r="E154">
        <v>3</v>
      </c>
      <c r="F154" s="2">
        <v>0.05</v>
      </c>
      <c r="G154" s="2" t="str">
        <f>_xlfn.XLOOKUP(D154,Products!$A$2:$A$11,Products!$B$2:$B$11)</f>
        <v>Notebook Pack</v>
      </c>
      <c r="H154" s="2" t="str">
        <f>_xlfn.XLOOKUP(D154,Products!$A$2:$A$11,Products!$C$2:$C$11)</f>
        <v>Stationery</v>
      </c>
      <c r="I154" s="3">
        <f>_xlfn.XLOOKUP(D154,Products!$A$2:$A$11,Products!$D$2:$D$11)</f>
        <v>12</v>
      </c>
      <c r="J154" s="3" t="str">
        <f>_xlfn.XLOOKUP(C154,Customers!$A$2:$A$101,Customers!$B$2:$B$101)</f>
        <v>Customer 067</v>
      </c>
      <c r="K154" s="3" t="str">
        <f>_xlfn.XLOOKUP(C154,Customers!$A$2:$A$101,Customers!$C$2:$C$101)</f>
        <v>Bristol</v>
      </c>
      <c r="L154" s="3" t="str">
        <f>_xlfn.XLOOKUP(C154,Customers!$A$2:$A$101,Customers!$D$2:$D$101)</f>
        <v>Small Business</v>
      </c>
      <c r="M154" s="3">
        <f t="shared" si="5"/>
        <v>34.199999999999996</v>
      </c>
      <c r="N154" s="3">
        <f>E154*_xlfn.XLOOKUP(D154,Products!$A$2:$A$11,Products!$E$2:$E$11)</f>
        <v>15</v>
      </c>
      <c r="O154" s="3">
        <f t="shared" si="4"/>
        <v>19.199999999999996</v>
      </c>
    </row>
    <row r="155" spans="1:15" x14ac:dyDescent="0.3">
      <c r="A155" t="s">
        <v>247</v>
      </c>
      <c r="B155" s="1">
        <v>45957</v>
      </c>
      <c r="C155" t="s">
        <v>116</v>
      </c>
      <c r="D155" t="s">
        <v>33</v>
      </c>
      <c r="E155">
        <v>1</v>
      </c>
      <c r="F155" s="2">
        <v>0.15</v>
      </c>
      <c r="G155" s="2" t="str">
        <f>_xlfn.XLOOKUP(D155,Products!$A$2:$A$11,Products!$B$2:$B$11)</f>
        <v>Notebook Pack</v>
      </c>
      <c r="H155" s="2" t="str">
        <f>_xlfn.XLOOKUP(D155,Products!$A$2:$A$11,Products!$C$2:$C$11)</f>
        <v>Stationery</v>
      </c>
      <c r="I155" s="3">
        <f>_xlfn.XLOOKUP(D155,Products!$A$2:$A$11,Products!$D$2:$D$11)</f>
        <v>12</v>
      </c>
      <c r="J155" s="3" t="str">
        <f>_xlfn.XLOOKUP(C155,Customers!$A$2:$A$101,Customers!$B$2:$B$101)</f>
        <v>Customer 056</v>
      </c>
      <c r="K155" s="3" t="str">
        <f>_xlfn.XLOOKUP(C155,Customers!$A$2:$A$101,Customers!$C$2:$C$101)</f>
        <v>Leeds</v>
      </c>
      <c r="L155" s="3" t="str">
        <f>_xlfn.XLOOKUP(C155,Customers!$A$2:$A$101,Customers!$D$2:$D$101)</f>
        <v>Small Business</v>
      </c>
      <c r="M155" s="3">
        <f t="shared" si="5"/>
        <v>10.199999999999999</v>
      </c>
      <c r="N155" s="3">
        <f>E155*_xlfn.XLOOKUP(D155,Products!$A$2:$A$11,Products!$E$2:$E$11)</f>
        <v>5</v>
      </c>
      <c r="O155" s="3">
        <f t="shared" si="4"/>
        <v>5.1999999999999993</v>
      </c>
    </row>
    <row r="156" spans="1:15" x14ac:dyDescent="0.3">
      <c r="A156" t="s">
        <v>248</v>
      </c>
      <c r="B156" s="1">
        <v>45836</v>
      </c>
      <c r="C156" t="s">
        <v>123</v>
      </c>
      <c r="D156" t="s">
        <v>19</v>
      </c>
      <c r="E156">
        <v>3</v>
      </c>
      <c r="F156" s="2">
        <v>0</v>
      </c>
      <c r="G156" s="2" t="str">
        <f>_xlfn.XLOOKUP(D156,Products!$A$2:$A$11,Products!$B$2:$B$11)</f>
        <v>Backpack</v>
      </c>
      <c r="H156" s="2" t="str">
        <f>_xlfn.XLOOKUP(D156,Products!$A$2:$A$11,Products!$C$2:$C$11)</f>
        <v>Lifestyle</v>
      </c>
      <c r="I156" s="3">
        <f>_xlfn.XLOOKUP(D156,Products!$A$2:$A$11,Products!$D$2:$D$11)</f>
        <v>55</v>
      </c>
      <c r="J156" s="3" t="str">
        <f>_xlfn.XLOOKUP(C156,Customers!$A$2:$A$101,Customers!$B$2:$B$101)</f>
        <v>Customer 053</v>
      </c>
      <c r="K156" s="3" t="str">
        <f>_xlfn.XLOOKUP(C156,Customers!$A$2:$A$101,Customers!$C$2:$C$101)</f>
        <v>Sheffield</v>
      </c>
      <c r="L156" s="3" t="str">
        <f>_xlfn.XLOOKUP(C156,Customers!$A$2:$A$101,Customers!$D$2:$D$101)</f>
        <v>Small Business</v>
      </c>
      <c r="M156" s="3">
        <f t="shared" si="5"/>
        <v>165</v>
      </c>
      <c r="N156" s="3">
        <f>E156*_xlfn.XLOOKUP(D156,Products!$A$2:$A$11,Products!$E$2:$E$11)</f>
        <v>81</v>
      </c>
      <c r="O156" s="3">
        <f t="shared" si="4"/>
        <v>84</v>
      </c>
    </row>
    <row r="157" spans="1:15" x14ac:dyDescent="0.3">
      <c r="A157" t="s">
        <v>249</v>
      </c>
      <c r="B157" s="1">
        <v>45740</v>
      </c>
      <c r="C157" t="s">
        <v>29</v>
      </c>
      <c r="D157" t="s">
        <v>16</v>
      </c>
      <c r="E157">
        <v>4</v>
      </c>
      <c r="F157" s="2">
        <v>0.1</v>
      </c>
      <c r="G157" s="2" t="str">
        <f>_xlfn.XLOOKUP(D157,Products!$A$2:$A$11,Products!$B$2:$B$11)</f>
        <v>Headphones</v>
      </c>
      <c r="H157" s="2" t="str">
        <f>_xlfn.XLOOKUP(D157,Products!$A$2:$A$11,Products!$C$2:$C$11)</f>
        <v>Electronics</v>
      </c>
      <c r="I157" s="3">
        <f>_xlfn.XLOOKUP(D157,Products!$A$2:$A$11,Products!$D$2:$D$11)</f>
        <v>75</v>
      </c>
      <c r="J157" s="3" t="str">
        <f>_xlfn.XLOOKUP(C157,Customers!$A$2:$A$101,Customers!$B$2:$B$101)</f>
        <v>Customer 043</v>
      </c>
      <c r="K157" s="3" t="str">
        <f>_xlfn.XLOOKUP(C157,Customers!$A$2:$A$101,Customers!$C$2:$C$101)</f>
        <v>Sheffield</v>
      </c>
      <c r="L157" s="3" t="str">
        <f>_xlfn.XLOOKUP(C157,Customers!$A$2:$A$101,Customers!$D$2:$D$101)</f>
        <v>Small Business</v>
      </c>
      <c r="M157" s="3">
        <f t="shared" si="5"/>
        <v>270</v>
      </c>
      <c r="N157" s="3">
        <f>E157*_xlfn.XLOOKUP(D157,Products!$A$2:$A$11,Products!$E$2:$E$11)</f>
        <v>160</v>
      </c>
      <c r="O157" s="3">
        <f t="shared" si="4"/>
        <v>110</v>
      </c>
    </row>
    <row r="158" spans="1:15" x14ac:dyDescent="0.3">
      <c r="A158" t="s">
        <v>250</v>
      </c>
      <c r="B158" s="1">
        <v>45997</v>
      </c>
      <c r="C158" t="s">
        <v>18</v>
      </c>
      <c r="D158" t="s">
        <v>11</v>
      </c>
      <c r="E158">
        <v>1</v>
      </c>
      <c r="F158" s="2">
        <v>0.15</v>
      </c>
      <c r="G158" s="2" t="str">
        <f>_xlfn.XLOOKUP(D158,Products!$A$2:$A$11,Products!$B$2:$B$11)</f>
        <v>Office Chair</v>
      </c>
      <c r="H158" s="2" t="str">
        <f>_xlfn.XLOOKUP(D158,Products!$A$2:$A$11,Products!$C$2:$C$11)</f>
        <v>Office</v>
      </c>
      <c r="I158" s="3">
        <f>_xlfn.XLOOKUP(D158,Products!$A$2:$A$11,Products!$D$2:$D$11)</f>
        <v>180</v>
      </c>
      <c r="J158" s="3" t="str">
        <f>_xlfn.XLOOKUP(C158,Customers!$A$2:$A$101,Customers!$B$2:$B$101)</f>
        <v>Customer 052</v>
      </c>
      <c r="K158" s="3" t="str">
        <f>_xlfn.XLOOKUP(C158,Customers!$A$2:$A$101,Customers!$C$2:$C$101)</f>
        <v>Bristol</v>
      </c>
      <c r="L158" s="3" t="str">
        <f>_xlfn.XLOOKUP(C158,Customers!$A$2:$A$101,Customers!$D$2:$D$101)</f>
        <v>Consumer</v>
      </c>
      <c r="M158" s="3">
        <f t="shared" si="5"/>
        <v>153</v>
      </c>
      <c r="N158" s="3">
        <f>E158*_xlfn.XLOOKUP(D158,Products!$A$2:$A$11,Products!$E$2:$E$11)</f>
        <v>105</v>
      </c>
      <c r="O158" s="3">
        <f t="shared" si="4"/>
        <v>48</v>
      </c>
    </row>
    <row r="159" spans="1:15" x14ac:dyDescent="0.3">
      <c r="A159" t="s">
        <v>251</v>
      </c>
      <c r="B159" s="1">
        <v>45703</v>
      </c>
      <c r="C159" t="s">
        <v>252</v>
      </c>
      <c r="D159" t="s">
        <v>60</v>
      </c>
      <c r="E159">
        <v>3</v>
      </c>
      <c r="F159" s="2">
        <v>0</v>
      </c>
      <c r="G159" s="2" t="str">
        <f>_xlfn.XLOOKUP(D159,Products!$A$2:$A$11,Products!$B$2:$B$11)</f>
        <v>Water Bottle</v>
      </c>
      <c r="H159" s="2" t="str">
        <f>_xlfn.XLOOKUP(D159,Products!$A$2:$A$11,Products!$C$2:$C$11)</f>
        <v>Lifestyle</v>
      </c>
      <c r="I159" s="3">
        <f>_xlfn.XLOOKUP(D159,Products!$A$2:$A$11,Products!$D$2:$D$11)</f>
        <v>18</v>
      </c>
      <c r="J159" s="3" t="str">
        <f>_xlfn.XLOOKUP(C159,Customers!$A$2:$A$101,Customers!$B$2:$B$101)</f>
        <v>Customer 041</v>
      </c>
      <c r="K159" s="3" t="str">
        <f>_xlfn.XLOOKUP(C159,Customers!$A$2:$A$101,Customers!$C$2:$C$101)</f>
        <v>Manchester</v>
      </c>
      <c r="L159" s="3" t="str">
        <f>_xlfn.XLOOKUP(C159,Customers!$A$2:$A$101,Customers!$D$2:$D$101)</f>
        <v>Small Business</v>
      </c>
      <c r="M159" s="3">
        <f t="shared" si="5"/>
        <v>54</v>
      </c>
      <c r="N159" s="3">
        <f>E159*_xlfn.XLOOKUP(D159,Products!$A$2:$A$11,Products!$E$2:$E$11)</f>
        <v>21</v>
      </c>
      <c r="O159" s="3">
        <f t="shared" si="4"/>
        <v>33</v>
      </c>
    </row>
    <row r="160" spans="1:15" x14ac:dyDescent="0.3">
      <c r="A160" t="s">
        <v>253</v>
      </c>
      <c r="B160" s="1">
        <v>45864</v>
      </c>
      <c r="C160" t="s">
        <v>66</v>
      </c>
      <c r="D160" t="s">
        <v>27</v>
      </c>
      <c r="E160">
        <v>5</v>
      </c>
      <c r="F160" s="2">
        <v>0.15</v>
      </c>
      <c r="G160" s="2" t="str">
        <f>_xlfn.XLOOKUP(D160,Products!$A$2:$A$11,Products!$B$2:$B$11)</f>
        <v>Laptop Stand</v>
      </c>
      <c r="H160" s="2" t="str">
        <f>_xlfn.XLOOKUP(D160,Products!$A$2:$A$11,Products!$C$2:$C$11)</f>
        <v>Office</v>
      </c>
      <c r="I160" s="3">
        <f>_xlfn.XLOOKUP(D160,Products!$A$2:$A$11,Products!$D$2:$D$11)</f>
        <v>35</v>
      </c>
      <c r="J160" s="3" t="str">
        <f>_xlfn.XLOOKUP(C160,Customers!$A$2:$A$101,Customers!$B$2:$B$101)</f>
        <v>Customer 066</v>
      </c>
      <c r="K160" s="3" t="str">
        <f>_xlfn.XLOOKUP(C160,Customers!$A$2:$A$101,Customers!$C$2:$C$101)</f>
        <v>Birmingham</v>
      </c>
      <c r="L160" s="3" t="str">
        <f>_xlfn.XLOOKUP(C160,Customers!$A$2:$A$101,Customers!$D$2:$D$101)</f>
        <v>Corporate</v>
      </c>
      <c r="M160" s="3">
        <f t="shared" si="5"/>
        <v>148.75</v>
      </c>
      <c r="N160" s="3">
        <f>E160*_xlfn.XLOOKUP(D160,Products!$A$2:$A$11,Products!$E$2:$E$11)</f>
        <v>100</v>
      </c>
      <c r="O160" s="3">
        <f t="shared" si="4"/>
        <v>48.75</v>
      </c>
    </row>
    <row r="161" spans="1:15" x14ac:dyDescent="0.3">
      <c r="A161" t="s">
        <v>254</v>
      </c>
      <c r="B161" s="1">
        <v>45869</v>
      </c>
      <c r="C161" t="s">
        <v>64</v>
      </c>
      <c r="D161" t="s">
        <v>22</v>
      </c>
      <c r="E161">
        <v>5</v>
      </c>
      <c r="F161" s="2">
        <v>0.1</v>
      </c>
      <c r="G161" s="2" t="str">
        <f>_xlfn.XLOOKUP(D161,Products!$A$2:$A$11,Products!$B$2:$B$11)</f>
        <v>Desk Lamp</v>
      </c>
      <c r="H161" s="2" t="str">
        <f>_xlfn.XLOOKUP(D161,Products!$A$2:$A$11,Products!$C$2:$C$11)</f>
        <v>Office</v>
      </c>
      <c r="I161" s="3">
        <f>_xlfn.XLOOKUP(D161,Products!$A$2:$A$11,Products!$D$2:$D$11)</f>
        <v>30</v>
      </c>
      <c r="J161" s="3" t="str">
        <f>_xlfn.XLOOKUP(C161,Customers!$A$2:$A$101,Customers!$B$2:$B$101)</f>
        <v>Customer 007</v>
      </c>
      <c r="K161" s="3" t="str">
        <f>_xlfn.XLOOKUP(C161,Customers!$A$2:$A$101,Customers!$C$2:$C$101)</f>
        <v>Bristol</v>
      </c>
      <c r="L161" s="3" t="str">
        <f>_xlfn.XLOOKUP(C161,Customers!$A$2:$A$101,Customers!$D$2:$D$101)</f>
        <v>Consumer</v>
      </c>
      <c r="M161" s="3">
        <f t="shared" si="5"/>
        <v>135</v>
      </c>
      <c r="N161" s="3">
        <f>E161*_xlfn.XLOOKUP(D161,Products!$A$2:$A$11,Products!$E$2:$E$11)</f>
        <v>75</v>
      </c>
      <c r="O161" s="3">
        <f t="shared" si="4"/>
        <v>60</v>
      </c>
    </row>
    <row r="162" spans="1:15" x14ac:dyDescent="0.3">
      <c r="A162" t="s">
        <v>255</v>
      </c>
      <c r="B162" s="1">
        <v>45976</v>
      </c>
      <c r="C162" t="s">
        <v>52</v>
      </c>
      <c r="D162" t="s">
        <v>33</v>
      </c>
      <c r="E162">
        <v>4</v>
      </c>
      <c r="F162" s="2">
        <v>0</v>
      </c>
      <c r="G162" s="2" t="str">
        <f>_xlfn.XLOOKUP(D162,Products!$A$2:$A$11,Products!$B$2:$B$11)</f>
        <v>Notebook Pack</v>
      </c>
      <c r="H162" s="2" t="str">
        <f>_xlfn.XLOOKUP(D162,Products!$A$2:$A$11,Products!$C$2:$C$11)</f>
        <v>Stationery</v>
      </c>
      <c r="I162" s="3">
        <f>_xlfn.XLOOKUP(D162,Products!$A$2:$A$11,Products!$D$2:$D$11)</f>
        <v>12</v>
      </c>
      <c r="J162" s="3" t="str">
        <f>_xlfn.XLOOKUP(C162,Customers!$A$2:$A$101,Customers!$B$2:$B$101)</f>
        <v>Customer 097</v>
      </c>
      <c r="K162" s="3" t="str">
        <f>_xlfn.XLOOKUP(C162,Customers!$A$2:$A$101,Customers!$C$2:$C$101)</f>
        <v>Bristol</v>
      </c>
      <c r="L162" s="3" t="str">
        <f>_xlfn.XLOOKUP(C162,Customers!$A$2:$A$101,Customers!$D$2:$D$101)</f>
        <v>Small Business</v>
      </c>
      <c r="M162" s="3">
        <f t="shared" si="5"/>
        <v>48</v>
      </c>
      <c r="N162" s="3">
        <f>E162*_xlfn.XLOOKUP(D162,Products!$A$2:$A$11,Products!$E$2:$E$11)</f>
        <v>20</v>
      </c>
      <c r="O162" s="3">
        <f t="shared" si="4"/>
        <v>28</v>
      </c>
    </row>
    <row r="163" spans="1:15" x14ac:dyDescent="0.3">
      <c r="A163" t="s">
        <v>256</v>
      </c>
      <c r="B163" s="1">
        <v>45762</v>
      </c>
      <c r="C163" t="s">
        <v>244</v>
      </c>
      <c r="D163" t="s">
        <v>11</v>
      </c>
      <c r="E163">
        <v>2</v>
      </c>
      <c r="F163" s="2">
        <v>0.1</v>
      </c>
      <c r="G163" s="2" t="str">
        <f>_xlfn.XLOOKUP(D163,Products!$A$2:$A$11,Products!$B$2:$B$11)</f>
        <v>Office Chair</v>
      </c>
      <c r="H163" s="2" t="str">
        <f>_xlfn.XLOOKUP(D163,Products!$A$2:$A$11,Products!$C$2:$C$11)</f>
        <v>Office</v>
      </c>
      <c r="I163" s="3">
        <f>_xlfn.XLOOKUP(D163,Products!$A$2:$A$11,Products!$D$2:$D$11)</f>
        <v>180</v>
      </c>
      <c r="J163" s="3" t="str">
        <f>_xlfn.XLOOKUP(C163,Customers!$A$2:$A$101,Customers!$B$2:$B$101)</f>
        <v>Customer 035</v>
      </c>
      <c r="K163" s="3" t="str">
        <f>_xlfn.XLOOKUP(C163,Customers!$A$2:$A$101,Customers!$C$2:$C$101)</f>
        <v>London</v>
      </c>
      <c r="L163" s="3" t="str">
        <f>_xlfn.XLOOKUP(C163,Customers!$A$2:$A$101,Customers!$D$2:$D$101)</f>
        <v>Corporate</v>
      </c>
      <c r="M163" s="3">
        <f t="shared" si="5"/>
        <v>324</v>
      </c>
      <c r="N163" s="3">
        <f>E163*_xlfn.XLOOKUP(D163,Products!$A$2:$A$11,Products!$E$2:$E$11)</f>
        <v>210</v>
      </c>
      <c r="O163" s="3">
        <f t="shared" si="4"/>
        <v>114</v>
      </c>
    </row>
    <row r="164" spans="1:15" x14ac:dyDescent="0.3">
      <c r="A164" t="s">
        <v>257</v>
      </c>
      <c r="B164" s="1">
        <v>45882</v>
      </c>
      <c r="C164" t="s">
        <v>156</v>
      </c>
      <c r="D164" t="s">
        <v>33</v>
      </c>
      <c r="E164">
        <v>1</v>
      </c>
      <c r="F164" s="2">
        <v>0</v>
      </c>
      <c r="G164" s="2" t="str">
        <f>_xlfn.XLOOKUP(D164,Products!$A$2:$A$11,Products!$B$2:$B$11)</f>
        <v>Notebook Pack</v>
      </c>
      <c r="H164" s="2" t="str">
        <f>_xlfn.XLOOKUP(D164,Products!$A$2:$A$11,Products!$C$2:$C$11)</f>
        <v>Stationery</v>
      </c>
      <c r="I164" s="3">
        <f>_xlfn.XLOOKUP(D164,Products!$A$2:$A$11,Products!$D$2:$D$11)</f>
        <v>12</v>
      </c>
      <c r="J164" s="3" t="str">
        <f>_xlfn.XLOOKUP(C164,Customers!$A$2:$A$101,Customers!$B$2:$B$101)</f>
        <v>Customer 090</v>
      </c>
      <c r="K164" s="3" t="str">
        <f>_xlfn.XLOOKUP(C164,Customers!$A$2:$A$101,Customers!$C$2:$C$101)</f>
        <v>Bristol</v>
      </c>
      <c r="L164" s="3" t="str">
        <f>_xlfn.XLOOKUP(C164,Customers!$A$2:$A$101,Customers!$D$2:$D$101)</f>
        <v>Consumer</v>
      </c>
      <c r="M164" s="3">
        <f t="shared" si="5"/>
        <v>12</v>
      </c>
      <c r="N164" s="3">
        <f>E164*_xlfn.XLOOKUP(D164,Products!$A$2:$A$11,Products!$E$2:$E$11)</f>
        <v>5</v>
      </c>
      <c r="O164" s="3">
        <f t="shared" si="4"/>
        <v>7</v>
      </c>
    </row>
    <row r="165" spans="1:15" x14ac:dyDescent="0.3">
      <c r="A165" t="s">
        <v>258</v>
      </c>
      <c r="B165" s="1">
        <v>45980</v>
      </c>
      <c r="C165" t="s">
        <v>15</v>
      </c>
      <c r="D165" t="s">
        <v>22</v>
      </c>
      <c r="E165">
        <v>2</v>
      </c>
      <c r="F165" s="2">
        <v>0.1</v>
      </c>
      <c r="G165" s="2" t="str">
        <f>_xlfn.XLOOKUP(D165,Products!$A$2:$A$11,Products!$B$2:$B$11)</f>
        <v>Desk Lamp</v>
      </c>
      <c r="H165" s="2" t="str">
        <f>_xlfn.XLOOKUP(D165,Products!$A$2:$A$11,Products!$C$2:$C$11)</f>
        <v>Office</v>
      </c>
      <c r="I165" s="3">
        <f>_xlfn.XLOOKUP(D165,Products!$A$2:$A$11,Products!$D$2:$D$11)</f>
        <v>30</v>
      </c>
      <c r="J165" s="3" t="str">
        <f>_xlfn.XLOOKUP(C165,Customers!$A$2:$A$101,Customers!$B$2:$B$101)</f>
        <v>Customer 078</v>
      </c>
      <c r="K165" s="3" t="str">
        <f>_xlfn.XLOOKUP(C165,Customers!$A$2:$A$101,Customers!$C$2:$C$101)</f>
        <v>Leeds</v>
      </c>
      <c r="L165" s="3" t="str">
        <f>_xlfn.XLOOKUP(C165,Customers!$A$2:$A$101,Customers!$D$2:$D$101)</f>
        <v>Corporate</v>
      </c>
      <c r="M165" s="3">
        <f t="shared" si="5"/>
        <v>54</v>
      </c>
      <c r="N165" s="3">
        <f>E165*_xlfn.XLOOKUP(D165,Products!$A$2:$A$11,Products!$E$2:$E$11)</f>
        <v>30</v>
      </c>
      <c r="O165" s="3">
        <f t="shared" si="4"/>
        <v>24</v>
      </c>
    </row>
    <row r="166" spans="1:15" x14ac:dyDescent="0.3">
      <c r="A166" t="s">
        <v>259</v>
      </c>
      <c r="B166" s="1">
        <v>45940</v>
      </c>
      <c r="C166" t="s">
        <v>76</v>
      </c>
      <c r="D166" t="s">
        <v>11</v>
      </c>
      <c r="E166">
        <v>4</v>
      </c>
      <c r="F166" s="2">
        <v>0</v>
      </c>
      <c r="G166" s="2" t="str">
        <f>_xlfn.XLOOKUP(D166,Products!$A$2:$A$11,Products!$B$2:$B$11)</f>
        <v>Office Chair</v>
      </c>
      <c r="H166" s="2" t="str">
        <f>_xlfn.XLOOKUP(D166,Products!$A$2:$A$11,Products!$C$2:$C$11)</f>
        <v>Office</v>
      </c>
      <c r="I166" s="3">
        <f>_xlfn.XLOOKUP(D166,Products!$A$2:$A$11,Products!$D$2:$D$11)</f>
        <v>180</v>
      </c>
      <c r="J166" s="3" t="str">
        <f>_xlfn.XLOOKUP(C166,Customers!$A$2:$A$101,Customers!$B$2:$B$101)</f>
        <v>Customer 002</v>
      </c>
      <c r="K166" s="3" t="str">
        <f>_xlfn.XLOOKUP(C166,Customers!$A$2:$A$101,Customers!$C$2:$C$101)</f>
        <v>London</v>
      </c>
      <c r="L166" s="3" t="str">
        <f>_xlfn.XLOOKUP(C166,Customers!$A$2:$A$101,Customers!$D$2:$D$101)</f>
        <v>Corporate</v>
      </c>
      <c r="M166" s="3">
        <f t="shared" si="5"/>
        <v>720</v>
      </c>
      <c r="N166" s="3">
        <f>E166*_xlfn.XLOOKUP(D166,Products!$A$2:$A$11,Products!$E$2:$E$11)</f>
        <v>420</v>
      </c>
      <c r="O166" s="3">
        <f t="shared" si="4"/>
        <v>300</v>
      </c>
    </row>
    <row r="167" spans="1:15" x14ac:dyDescent="0.3">
      <c r="A167" t="s">
        <v>260</v>
      </c>
      <c r="B167" s="1">
        <v>45773</v>
      </c>
      <c r="C167" t="s">
        <v>113</v>
      </c>
      <c r="D167" t="s">
        <v>33</v>
      </c>
      <c r="E167">
        <v>1</v>
      </c>
      <c r="F167" s="2">
        <v>0.05</v>
      </c>
      <c r="G167" s="2" t="str">
        <f>_xlfn.XLOOKUP(D167,Products!$A$2:$A$11,Products!$B$2:$B$11)</f>
        <v>Notebook Pack</v>
      </c>
      <c r="H167" s="2" t="str">
        <f>_xlfn.XLOOKUP(D167,Products!$A$2:$A$11,Products!$C$2:$C$11)</f>
        <v>Stationery</v>
      </c>
      <c r="I167" s="3">
        <f>_xlfn.XLOOKUP(D167,Products!$A$2:$A$11,Products!$D$2:$D$11)</f>
        <v>12</v>
      </c>
      <c r="J167" s="3" t="str">
        <f>_xlfn.XLOOKUP(C167,Customers!$A$2:$A$101,Customers!$B$2:$B$101)</f>
        <v>Customer 015</v>
      </c>
      <c r="K167" s="3" t="str">
        <f>_xlfn.XLOOKUP(C167,Customers!$A$2:$A$101,Customers!$C$2:$C$101)</f>
        <v>Sheffield</v>
      </c>
      <c r="L167" s="3" t="str">
        <f>_xlfn.XLOOKUP(C167,Customers!$A$2:$A$101,Customers!$D$2:$D$101)</f>
        <v>Corporate</v>
      </c>
      <c r="M167" s="3">
        <f t="shared" si="5"/>
        <v>11.399999999999999</v>
      </c>
      <c r="N167" s="3">
        <f>E167*_xlfn.XLOOKUP(D167,Products!$A$2:$A$11,Products!$E$2:$E$11)</f>
        <v>5</v>
      </c>
      <c r="O167" s="3">
        <f t="shared" si="4"/>
        <v>6.3999999999999986</v>
      </c>
    </row>
    <row r="168" spans="1:15" x14ac:dyDescent="0.3">
      <c r="A168" t="s">
        <v>261</v>
      </c>
      <c r="B168" s="1">
        <v>45913</v>
      </c>
      <c r="C168" t="s">
        <v>182</v>
      </c>
      <c r="D168" t="s">
        <v>60</v>
      </c>
      <c r="E168">
        <v>5</v>
      </c>
      <c r="F168" s="2">
        <v>0.1</v>
      </c>
      <c r="G168" s="2" t="str">
        <f>_xlfn.XLOOKUP(D168,Products!$A$2:$A$11,Products!$B$2:$B$11)</f>
        <v>Water Bottle</v>
      </c>
      <c r="H168" s="2" t="str">
        <f>_xlfn.XLOOKUP(D168,Products!$A$2:$A$11,Products!$C$2:$C$11)</f>
        <v>Lifestyle</v>
      </c>
      <c r="I168" s="3">
        <f>_xlfn.XLOOKUP(D168,Products!$A$2:$A$11,Products!$D$2:$D$11)</f>
        <v>18</v>
      </c>
      <c r="J168" s="3" t="str">
        <f>_xlfn.XLOOKUP(C168,Customers!$A$2:$A$101,Customers!$B$2:$B$101)</f>
        <v>Customer 092</v>
      </c>
      <c r="K168" s="3" t="str">
        <f>_xlfn.XLOOKUP(C168,Customers!$A$2:$A$101,Customers!$C$2:$C$101)</f>
        <v>Sheffield</v>
      </c>
      <c r="L168" s="3" t="str">
        <f>_xlfn.XLOOKUP(C168,Customers!$A$2:$A$101,Customers!$D$2:$D$101)</f>
        <v>Corporate</v>
      </c>
      <c r="M168" s="3">
        <f t="shared" si="5"/>
        <v>81</v>
      </c>
      <c r="N168" s="3">
        <f>E168*_xlfn.XLOOKUP(D168,Products!$A$2:$A$11,Products!$E$2:$E$11)</f>
        <v>35</v>
      </c>
      <c r="O168" s="3">
        <f t="shared" si="4"/>
        <v>46</v>
      </c>
    </row>
    <row r="169" spans="1:15" x14ac:dyDescent="0.3">
      <c r="A169" t="s">
        <v>262</v>
      </c>
      <c r="B169" s="1">
        <v>45870</v>
      </c>
      <c r="C169" t="s">
        <v>54</v>
      </c>
      <c r="D169" t="s">
        <v>33</v>
      </c>
      <c r="E169">
        <v>2</v>
      </c>
      <c r="F169" s="2">
        <v>0.15</v>
      </c>
      <c r="G169" s="2" t="str">
        <f>_xlfn.XLOOKUP(D169,Products!$A$2:$A$11,Products!$B$2:$B$11)</f>
        <v>Notebook Pack</v>
      </c>
      <c r="H169" s="2" t="str">
        <f>_xlfn.XLOOKUP(D169,Products!$A$2:$A$11,Products!$C$2:$C$11)</f>
        <v>Stationery</v>
      </c>
      <c r="I169" s="3">
        <f>_xlfn.XLOOKUP(D169,Products!$A$2:$A$11,Products!$D$2:$D$11)</f>
        <v>12</v>
      </c>
      <c r="J169" s="3" t="str">
        <f>_xlfn.XLOOKUP(C169,Customers!$A$2:$A$101,Customers!$B$2:$B$101)</f>
        <v>Customer 062</v>
      </c>
      <c r="K169" s="3" t="str">
        <f>_xlfn.XLOOKUP(C169,Customers!$A$2:$A$101,Customers!$C$2:$C$101)</f>
        <v>Leeds</v>
      </c>
      <c r="L169" s="3" t="str">
        <f>_xlfn.XLOOKUP(C169,Customers!$A$2:$A$101,Customers!$D$2:$D$101)</f>
        <v>Consumer</v>
      </c>
      <c r="M169" s="3">
        <f t="shared" si="5"/>
        <v>20.399999999999999</v>
      </c>
      <c r="N169" s="3">
        <f>E169*_xlfn.XLOOKUP(D169,Products!$A$2:$A$11,Products!$E$2:$E$11)</f>
        <v>10</v>
      </c>
      <c r="O169" s="3">
        <f t="shared" si="4"/>
        <v>10.399999999999999</v>
      </c>
    </row>
    <row r="170" spans="1:15" x14ac:dyDescent="0.3">
      <c r="A170" t="s">
        <v>263</v>
      </c>
      <c r="B170" s="1">
        <v>45940</v>
      </c>
      <c r="C170" t="s">
        <v>135</v>
      </c>
      <c r="D170" t="s">
        <v>16</v>
      </c>
      <c r="E170">
        <v>2</v>
      </c>
      <c r="F170" s="2">
        <v>0.05</v>
      </c>
      <c r="G170" s="2" t="str">
        <f>_xlfn.XLOOKUP(D170,Products!$A$2:$A$11,Products!$B$2:$B$11)</f>
        <v>Headphones</v>
      </c>
      <c r="H170" s="2" t="str">
        <f>_xlfn.XLOOKUP(D170,Products!$A$2:$A$11,Products!$C$2:$C$11)</f>
        <v>Electronics</v>
      </c>
      <c r="I170" s="3">
        <f>_xlfn.XLOOKUP(D170,Products!$A$2:$A$11,Products!$D$2:$D$11)</f>
        <v>75</v>
      </c>
      <c r="J170" s="3" t="str">
        <f>_xlfn.XLOOKUP(C170,Customers!$A$2:$A$101,Customers!$B$2:$B$101)</f>
        <v>Customer 019</v>
      </c>
      <c r="K170" s="3" t="str">
        <f>_xlfn.XLOOKUP(C170,Customers!$A$2:$A$101,Customers!$C$2:$C$101)</f>
        <v>Manchester</v>
      </c>
      <c r="L170" s="3" t="str">
        <f>_xlfn.XLOOKUP(C170,Customers!$A$2:$A$101,Customers!$D$2:$D$101)</f>
        <v>Corporate</v>
      </c>
      <c r="M170" s="3">
        <f t="shared" si="5"/>
        <v>142.5</v>
      </c>
      <c r="N170" s="3">
        <f>E170*_xlfn.XLOOKUP(D170,Products!$A$2:$A$11,Products!$E$2:$E$11)</f>
        <v>80</v>
      </c>
      <c r="O170" s="3">
        <f t="shared" si="4"/>
        <v>62.5</v>
      </c>
    </row>
    <row r="171" spans="1:15" x14ac:dyDescent="0.3">
      <c r="A171" t="s">
        <v>264</v>
      </c>
      <c r="B171" s="1">
        <v>45693</v>
      </c>
      <c r="C171" t="s">
        <v>265</v>
      </c>
      <c r="D171" t="s">
        <v>16</v>
      </c>
      <c r="E171">
        <v>3</v>
      </c>
      <c r="F171" s="2">
        <v>0.1</v>
      </c>
      <c r="G171" s="2" t="str">
        <f>_xlfn.XLOOKUP(D171,Products!$A$2:$A$11,Products!$B$2:$B$11)</f>
        <v>Headphones</v>
      </c>
      <c r="H171" s="2" t="str">
        <f>_xlfn.XLOOKUP(D171,Products!$A$2:$A$11,Products!$C$2:$C$11)</f>
        <v>Electronics</v>
      </c>
      <c r="I171" s="3">
        <f>_xlfn.XLOOKUP(D171,Products!$A$2:$A$11,Products!$D$2:$D$11)</f>
        <v>75</v>
      </c>
      <c r="J171" s="3" t="str">
        <f>_xlfn.XLOOKUP(C171,Customers!$A$2:$A$101,Customers!$B$2:$B$101)</f>
        <v>Customer 036</v>
      </c>
      <c r="K171" s="3" t="str">
        <f>_xlfn.XLOOKUP(C171,Customers!$A$2:$A$101,Customers!$C$2:$C$101)</f>
        <v>Manchester</v>
      </c>
      <c r="L171" s="3" t="str">
        <f>_xlfn.XLOOKUP(C171,Customers!$A$2:$A$101,Customers!$D$2:$D$101)</f>
        <v>Small Business</v>
      </c>
      <c r="M171" s="3">
        <f t="shared" si="5"/>
        <v>202.5</v>
      </c>
      <c r="N171" s="3">
        <f>E171*_xlfn.XLOOKUP(D171,Products!$A$2:$A$11,Products!$E$2:$E$11)</f>
        <v>120</v>
      </c>
      <c r="O171" s="3">
        <f t="shared" si="4"/>
        <v>82.5</v>
      </c>
    </row>
    <row r="172" spans="1:15" x14ac:dyDescent="0.3">
      <c r="A172" t="s">
        <v>266</v>
      </c>
      <c r="B172" s="1">
        <v>45659</v>
      </c>
      <c r="C172" t="s">
        <v>58</v>
      </c>
      <c r="D172" t="s">
        <v>60</v>
      </c>
      <c r="E172">
        <v>5</v>
      </c>
      <c r="F172" s="2">
        <v>0.15</v>
      </c>
      <c r="G172" s="2" t="str">
        <f>_xlfn.XLOOKUP(D172,Products!$A$2:$A$11,Products!$B$2:$B$11)</f>
        <v>Water Bottle</v>
      </c>
      <c r="H172" s="2" t="str">
        <f>_xlfn.XLOOKUP(D172,Products!$A$2:$A$11,Products!$C$2:$C$11)</f>
        <v>Lifestyle</v>
      </c>
      <c r="I172" s="3">
        <f>_xlfn.XLOOKUP(D172,Products!$A$2:$A$11,Products!$D$2:$D$11)</f>
        <v>18</v>
      </c>
      <c r="J172" s="3" t="str">
        <f>_xlfn.XLOOKUP(C172,Customers!$A$2:$A$101,Customers!$B$2:$B$101)</f>
        <v>Customer 037</v>
      </c>
      <c r="K172" s="3" t="str">
        <f>_xlfn.XLOOKUP(C172,Customers!$A$2:$A$101,Customers!$C$2:$C$101)</f>
        <v>London</v>
      </c>
      <c r="L172" s="3" t="str">
        <f>_xlfn.XLOOKUP(C172,Customers!$A$2:$A$101,Customers!$D$2:$D$101)</f>
        <v>Consumer</v>
      </c>
      <c r="M172" s="3">
        <f t="shared" si="5"/>
        <v>76.5</v>
      </c>
      <c r="N172" s="3">
        <f>E172*_xlfn.XLOOKUP(D172,Products!$A$2:$A$11,Products!$E$2:$E$11)</f>
        <v>35</v>
      </c>
      <c r="O172" s="3">
        <f t="shared" si="4"/>
        <v>41.5</v>
      </c>
    </row>
    <row r="173" spans="1:15" x14ac:dyDescent="0.3">
      <c r="A173" t="s">
        <v>267</v>
      </c>
      <c r="B173" s="1">
        <v>45734</v>
      </c>
      <c r="C173" t="s">
        <v>45</v>
      </c>
      <c r="D173" t="s">
        <v>11</v>
      </c>
      <c r="E173">
        <v>4</v>
      </c>
      <c r="F173" s="2">
        <v>0.1</v>
      </c>
      <c r="G173" s="2" t="str">
        <f>_xlfn.XLOOKUP(D173,Products!$A$2:$A$11,Products!$B$2:$B$11)</f>
        <v>Office Chair</v>
      </c>
      <c r="H173" s="2" t="str">
        <f>_xlfn.XLOOKUP(D173,Products!$A$2:$A$11,Products!$C$2:$C$11)</f>
        <v>Office</v>
      </c>
      <c r="I173" s="3">
        <f>_xlfn.XLOOKUP(D173,Products!$A$2:$A$11,Products!$D$2:$D$11)</f>
        <v>180</v>
      </c>
      <c r="J173" s="3" t="str">
        <f>_xlfn.XLOOKUP(C173,Customers!$A$2:$A$101,Customers!$B$2:$B$101)</f>
        <v>Customer 058</v>
      </c>
      <c r="K173" s="3" t="str">
        <f>_xlfn.XLOOKUP(C173,Customers!$A$2:$A$101,Customers!$C$2:$C$101)</f>
        <v>Bristol</v>
      </c>
      <c r="L173" s="3" t="str">
        <f>_xlfn.XLOOKUP(C173,Customers!$A$2:$A$101,Customers!$D$2:$D$101)</f>
        <v>Corporate</v>
      </c>
      <c r="M173" s="3">
        <f t="shared" si="5"/>
        <v>648</v>
      </c>
      <c r="N173" s="3">
        <f>E173*_xlfn.XLOOKUP(D173,Products!$A$2:$A$11,Products!$E$2:$E$11)</f>
        <v>420</v>
      </c>
      <c r="O173" s="3">
        <f t="shared" si="4"/>
        <v>228</v>
      </c>
    </row>
    <row r="174" spans="1:15" x14ac:dyDescent="0.3">
      <c r="A174" t="s">
        <v>268</v>
      </c>
      <c r="B174" s="1">
        <v>45828</v>
      </c>
      <c r="C174" t="s">
        <v>127</v>
      </c>
      <c r="D174" t="s">
        <v>11</v>
      </c>
      <c r="E174">
        <v>4</v>
      </c>
      <c r="F174" s="2">
        <v>0.15</v>
      </c>
      <c r="G174" s="2" t="str">
        <f>_xlfn.XLOOKUP(D174,Products!$A$2:$A$11,Products!$B$2:$B$11)</f>
        <v>Office Chair</v>
      </c>
      <c r="H174" s="2" t="str">
        <f>_xlfn.XLOOKUP(D174,Products!$A$2:$A$11,Products!$C$2:$C$11)</f>
        <v>Office</v>
      </c>
      <c r="I174" s="3">
        <f>_xlfn.XLOOKUP(D174,Products!$A$2:$A$11,Products!$D$2:$D$11)</f>
        <v>180</v>
      </c>
      <c r="J174" s="3" t="str">
        <f>_xlfn.XLOOKUP(C174,Customers!$A$2:$A$101,Customers!$B$2:$B$101)</f>
        <v>Customer 071</v>
      </c>
      <c r="K174" s="3" t="str">
        <f>_xlfn.XLOOKUP(C174,Customers!$A$2:$A$101,Customers!$C$2:$C$101)</f>
        <v>Leeds</v>
      </c>
      <c r="L174" s="3" t="str">
        <f>_xlfn.XLOOKUP(C174,Customers!$A$2:$A$101,Customers!$D$2:$D$101)</f>
        <v>Consumer</v>
      </c>
      <c r="M174" s="3">
        <f t="shared" si="5"/>
        <v>612</v>
      </c>
      <c r="N174" s="3">
        <f>E174*_xlfn.XLOOKUP(D174,Products!$A$2:$A$11,Products!$E$2:$E$11)</f>
        <v>420</v>
      </c>
      <c r="O174" s="3">
        <f t="shared" si="4"/>
        <v>192</v>
      </c>
    </row>
    <row r="175" spans="1:15" x14ac:dyDescent="0.3">
      <c r="A175" t="s">
        <v>269</v>
      </c>
      <c r="B175" s="1">
        <v>45822</v>
      </c>
      <c r="C175" t="s">
        <v>37</v>
      </c>
      <c r="D175" t="s">
        <v>22</v>
      </c>
      <c r="E175">
        <v>5</v>
      </c>
      <c r="F175" s="2">
        <v>0.15</v>
      </c>
      <c r="G175" s="2" t="str">
        <f>_xlfn.XLOOKUP(D175,Products!$A$2:$A$11,Products!$B$2:$B$11)</f>
        <v>Desk Lamp</v>
      </c>
      <c r="H175" s="2" t="str">
        <f>_xlfn.XLOOKUP(D175,Products!$A$2:$A$11,Products!$C$2:$C$11)</f>
        <v>Office</v>
      </c>
      <c r="I175" s="3">
        <f>_xlfn.XLOOKUP(D175,Products!$A$2:$A$11,Products!$D$2:$D$11)</f>
        <v>30</v>
      </c>
      <c r="J175" s="3" t="str">
        <f>_xlfn.XLOOKUP(C175,Customers!$A$2:$A$101,Customers!$B$2:$B$101)</f>
        <v>Customer 025</v>
      </c>
      <c r="K175" s="3" t="str">
        <f>_xlfn.XLOOKUP(C175,Customers!$A$2:$A$101,Customers!$C$2:$C$101)</f>
        <v>Birmingham</v>
      </c>
      <c r="L175" s="3" t="str">
        <f>_xlfn.XLOOKUP(C175,Customers!$A$2:$A$101,Customers!$D$2:$D$101)</f>
        <v>Small Business</v>
      </c>
      <c r="M175" s="3">
        <f t="shared" si="5"/>
        <v>127.5</v>
      </c>
      <c r="N175" s="3">
        <f>E175*_xlfn.XLOOKUP(D175,Products!$A$2:$A$11,Products!$E$2:$E$11)</f>
        <v>75</v>
      </c>
      <c r="O175" s="3">
        <f t="shared" si="4"/>
        <v>52.5</v>
      </c>
    </row>
    <row r="176" spans="1:15" x14ac:dyDescent="0.3">
      <c r="A176" t="s">
        <v>270</v>
      </c>
      <c r="B176" s="1">
        <v>45777</v>
      </c>
      <c r="C176" t="s">
        <v>101</v>
      </c>
      <c r="D176" t="s">
        <v>16</v>
      </c>
      <c r="E176">
        <v>1</v>
      </c>
      <c r="F176" s="2">
        <v>0.1</v>
      </c>
      <c r="G176" s="2" t="str">
        <f>_xlfn.XLOOKUP(D176,Products!$A$2:$A$11,Products!$B$2:$B$11)</f>
        <v>Headphones</v>
      </c>
      <c r="H176" s="2" t="str">
        <f>_xlfn.XLOOKUP(D176,Products!$A$2:$A$11,Products!$C$2:$C$11)</f>
        <v>Electronics</v>
      </c>
      <c r="I176" s="3">
        <f>_xlfn.XLOOKUP(D176,Products!$A$2:$A$11,Products!$D$2:$D$11)</f>
        <v>75</v>
      </c>
      <c r="J176" s="3" t="str">
        <f>_xlfn.XLOOKUP(C176,Customers!$A$2:$A$101,Customers!$B$2:$B$101)</f>
        <v>Customer 100</v>
      </c>
      <c r="K176" s="3" t="str">
        <f>_xlfn.XLOOKUP(C176,Customers!$A$2:$A$101,Customers!$C$2:$C$101)</f>
        <v>Birmingham</v>
      </c>
      <c r="L176" s="3" t="str">
        <f>_xlfn.XLOOKUP(C176,Customers!$A$2:$A$101,Customers!$D$2:$D$101)</f>
        <v>Consumer</v>
      </c>
      <c r="M176" s="3">
        <f t="shared" si="5"/>
        <v>67.5</v>
      </c>
      <c r="N176" s="3">
        <f>E176*_xlfn.XLOOKUP(D176,Products!$A$2:$A$11,Products!$E$2:$E$11)</f>
        <v>40</v>
      </c>
      <c r="O176" s="3">
        <f t="shared" si="4"/>
        <v>27.5</v>
      </c>
    </row>
    <row r="177" spans="1:15" x14ac:dyDescent="0.3">
      <c r="A177" t="s">
        <v>271</v>
      </c>
      <c r="B177" s="1">
        <v>45900</v>
      </c>
      <c r="C177" t="s">
        <v>272</v>
      </c>
      <c r="D177" t="s">
        <v>16</v>
      </c>
      <c r="E177">
        <v>4</v>
      </c>
      <c r="F177" s="2">
        <v>0.05</v>
      </c>
      <c r="G177" s="2" t="str">
        <f>_xlfn.XLOOKUP(D177,Products!$A$2:$A$11,Products!$B$2:$B$11)</f>
        <v>Headphones</v>
      </c>
      <c r="H177" s="2" t="str">
        <f>_xlfn.XLOOKUP(D177,Products!$A$2:$A$11,Products!$C$2:$C$11)</f>
        <v>Electronics</v>
      </c>
      <c r="I177" s="3">
        <f>_xlfn.XLOOKUP(D177,Products!$A$2:$A$11,Products!$D$2:$D$11)</f>
        <v>75</v>
      </c>
      <c r="J177" s="3" t="str">
        <f>_xlfn.XLOOKUP(C177,Customers!$A$2:$A$101,Customers!$B$2:$B$101)</f>
        <v>Customer 091</v>
      </c>
      <c r="K177" s="3" t="str">
        <f>_xlfn.XLOOKUP(C177,Customers!$A$2:$A$101,Customers!$C$2:$C$101)</f>
        <v>Sheffield</v>
      </c>
      <c r="L177" s="3" t="str">
        <f>_xlfn.XLOOKUP(C177,Customers!$A$2:$A$101,Customers!$D$2:$D$101)</f>
        <v>Small Business</v>
      </c>
      <c r="M177" s="3">
        <f t="shared" si="5"/>
        <v>285</v>
      </c>
      <c r="N177" s="3">
        <f>E177*_xlfn.XLOOKUP(D177,Products!$A$2:$A$11,Products!$E$2:$E$11)</f>
        <v>160</v>
      </c>
      <c r="O177" s="3">
        <f t="shared" si="4"/>
        <v>125</v>
      </c>
    </row>
    <row r="178" spans="1:15" x14ac:dyDescent="0.3">
      <c r="A178" t="s">
        <v>273</v>
      </c>
      <c r="B178" s="1">
        <v>45911</v>
      </c>
      <c r="C178" t="s">
        <v>96</v>
      </c>
      <c r="D178" t="s">
        <v>46</v>
      </c>
      <c r="E178">
        <v>5</v>
      </c>
      <c r="F178" s="2">
        <v>0.1</v>
      </c>
      <c r="G178" s="2" t="str">
        <f>_xlfn.XLOOKUP(D178,Products!$A$2:$A$11,Products!$B$2:$B$11)</f>
        <v>Keyboard</v>
      </c>
      <c r="H178" s="2" t="str">
        <f>_xlfn.XLOOKUP(D178,Products!$A$2:$A$11,Products!$C$2:$C$11)</f>
        <v>Electronics</v>
      </c>
      <c r="I178" s="3">
        <f>_xlfn.XLOOKUP(D178,Products!$A$2:$A$11,Products!$D$2:$D$11)</f>
        <v>45</v>
      </c>
      <c r="J178" s="3" t="str">
        <f>_xlfn.XLOOKUP(C178,Customers!$A$2:$A$101,Customers!$B$2:$B$101)</f>
        <v>Customer 005</v>
      </c>
      <c r="K178" s="3" t="str">
        <f>_xlfn.XLOOKUP(C178,Customers!$A$2:$A$101,Customers!$C$2:$C$101)</f>
        <v>Sheffield</v>
      </c>
      <c r="L178" s="3" t="str">
        <f>_xlfn.XLOOKUP(C178,Customers!$A$2:$A$101,Customers!$D$2:$D$101)</f>
        <v>Consumer</v>
      </c>
      <c r="M178" s="3">
        <f t="shared" si="5"/>
        <v>202.5</v>
      </c>
      <c r="N178" s="3">
        <f>E178*_xlfn.XLOOKUP(D178,Products!$A$2:$A$11,Products!$E$2:$E$11)</f>
        <v>110</v>
      </c>
      <c r="O178" s="3">
        <f t="shared" si="4"/>
        <v>92.5</v>
      </c>
    </row>
    <row r="179" spans="1:15" x14ac:dyDescent="0.3">
      <c r="A179" t="s">
        <v>274</v>
      </c>
      <c r="B179" s="1">
        <v>45709</v>
      </c>
      <c r="C179" t="s">
        <v>130</v>
      </c>
      <c r="D179" t="s">
        <v>30</v>
      </c>
      <c r="E179">
        <v>5</v>
      </c>
      <c r="F179" s="2">
        <v>0.15</v>
      </c>
      <c r="G179" s="2" t="str">
        <f>_xlfn.XLOOKUP(D179,Products!$A$2:$A$11,Products!$B$2:$B$11)</f>
        <v>Wireless Mouse</v>
      </c>
      <c r="H179" s="2" t="str">
        <f>_xlfn.XLOOKUP(D179,Products!$A$2:$A$11,Products!$C$2:$C$11)</f>
        <v>Electronics</v>
      </c>
      <c r="I179" s="3">
        <f>_xlfn.XLOOKUP(D179,Products!$A$2:$A$11,Products!$D$2:$D$11)</f>
        <v>25</v>
      </c>
      <c r="J179" s="3" t="str">
        <f>_xlfn.XLOOKUP(C179,Customers!$A$2:$A$101,Customers!$B$2:$B$101)</f>
        <v>Customer 057</v>
      </c>
      <c r="K179" s="3" t="str">
        <f>_xlfn.XLOOKUP(C179,Customers!$A$2:$A$101,Customers!$C$2:$C$101)</f>
        <v>London</v>
      </c>
      <c r="L179" s="3" t="str">
        <f>_xlfn.XLOOKUP(C179,Customers!$A$2:$A$101,Customers!$D$2:$D$101)</f>
        <v>Consumer</v>
      </c>
      <c r="M179" s="3">
        <f t="shared" si="5"/>
        <v>106.25</v>
      </c>
      <c r="N179" s="3">
        <f>E179*_xlfn.XLOOKUP(D179,Products!$A$2:$A$11,Products!$E$2:$E$11)</f>
        <v>60</v>
      </c>
      <c r="O179" s="3">
        <f t="shared" si="4"/>
        <v>46.25</v>
      </c>
    </row>
    <row r="180" spans="1:15" x14ac:dyDescent="0.3">
      <c r="A180" t="s">
        <v>275</v>
      </c>
      <c r="B180" s="1">
        <v>45665</v>
      </c>
      <c r="C180" t="s">
        <v>276</v>
      </c>
      <c r="D180" t="s">
        <v>46</v>
      </c>
      <c r="E180">
        <v>4</v>
      </c>
      <c r="F180" s="2">
        <v>0.05</v>
      </c>
      <c r="G180" s="2" t="str">
        <f>_xlfn.XLOOKUP(D180,Products!$A$2:$A$11,Products!$B$2:$B$11)</f>
        <v>Keyboard</v>
      </c>
      <c r="H180" s="2" t="str">
        <f>_xlfn.XLOOKUP(D180,Products!$A$2:$A$11,Products!$C$2:$C$11)</f>
        <v>Electronics</v>
      </c>
      <c r="I180" s="3">
        <f>_xlfn.XLOOKUP(D180,Products!$A$2:$A$11,Products!$D$2:$D$11)</f>
        <v>45</v>
      </c>
      <c r="J180" s="3" t="str">
        <f>_xlfn.XLOOKUP(C180,Customers!$A$2:$A$101,Customers!$B$2:$B$101)</f>
        <v>Customer 093</v>
      </c>
      <c r="K180" s="3" t="str">
        <f>_xlfn.XLOOKUP(C180,Customers!$A$2:$A$101,Customers!$C$2:$C$101)</f>
        <v>Bristol</v>
      </c>
      <c r="L180" s="3" t="str">
        <f>_xlfn.XLOOKUP(C180,Customers!$A$2:$A$101,Customers!$D$2:$D$101)</f>
        <v>Consumer</v>
      </c>
      <c r="M180" s="3">
        <f t="shared" si="5"/>
        <v>171</v>
      </c>
      <c r="N180" s="3">
        <f>E180*_xlfn.XLOOKUP(D180,Products!$A$2:$A$11,Products!$E$2:$E$11)</f>
        <v>88</v>
      </c>
      <c r="O180" s="3">
        <f t="shared" si="4"/>
        <v>83</v>
      </c>
    </row>
    <row r="181" spans="1:15" x14ac:dyDescent="0.3">
      <c r="A181" t="s">
        <v>277</v>
      </c>
      <c r="B181" s="1">
        <v>45696</v>
      </c>
      <c r="C181" t="s">
        <v>13</v>
      </c>
      <c r="D181" t="s">
        <v>60</v>
      </c>
      <c r="E181">
        <v>3</v>
      </c>
      <c r="F181" s="2">
        <v>0.15</v>
      </c>
      <c r="G181" s="2" t="str">
        <f>_xlfn.XLOOKUP(D181,Products!$A$2:$A$11,Products!$B$2:$B$11)</f>
        <v>Water Bottle</v>
      </c>
      <c r="H181" s="2" t="str">
        <f>_xlfn.XLOOKUP(D181,Products!$A$2:$A$11,Products!$C$2:$C$11)</f>
        <v>Lifestyle</v>
      </c>
      <c r="I181" s="3">
        <f>_xlfn.XLOOKUP(D181,Products!$A$2:$A$11,Products!$D$2:$D$11)</f>
        <v>18</v>
      </c>
      <c r="J181" s="3" t="str">
        <f>_xlfn.XLOOKUP(C181,Customers!$A$2:$A$101,Customers!$B$2:$B$101)</f>
        <v>Customer 061</v>
      </c>
      <c r="K181" s="3" t="str">
        <f>_xlfn.XLOOKUP(C181,Customers!$A$2:$A$101,Customers!$C$2:$C$101)</f>
        <v>Leeds</v>
      </c>
      <c r="L181" s="3" t="str">
        <f>_xlfn.XLOOKUP(C181,Customers!$A$2:$A$101,Customers!$D$2:$D$101)</f>
        <v>Corporate</v>
      </c>
      <c r="M181" s="3">
        <f t="shared" si="5"/>
        <v>45.9</v>
      </c>
      <c r="N181" s="3">
        <f>E181*_xlfn.XLOOKUP(D181,Products!$A$2:$A$11,Products!$E$2:$E$11)</f>
        <v>21</v>
      </c>
      <c r="O181" s="3">
        <f t="shared" si="4"/>
        <v>24.9</v>
      </c>
    </row>
    <row r="182" spans="1:15" x14ac:dyDescent="0.3">
      <c r="A182" t="s">
        <v>278</v>
      </c>
      <c r="B182" s="1">
        <v>45990</v>
      </c>
      <c r="C182" t="s">
        <v>70</v>
      </c>
      <c r="D182" t="s">
        <v>19</v>
      </c>
      <c r="E182">
        <v>5</v>
      </c>
      <c r="F182" s="2">
        <v>0.15</v>
      </c>
      <c r="G182" s="2" t="str">
        <f>_xlfn.XLOOKUP(D182,Products!$A$2:$A$11,Products!$B$2:$B$11)</f>
        <v>Backpack</v>
      </c>
      <c r="H182" s="2" t="str">
        <f>_xlfn.XLOOKUP(D182,Products!$A$2:$A$11,Products!$C$2:$C$11)</f>
        <v>Lifestyle</v>
      </c>
      <c r="I182" s="3">
        <f>_xlfn.XLOOKUP(D182,Products!$A$2:$A$11,Products!$D$2:$D$11)</f>
        <v>55</v>
      </c>
      <c r="J182" s="3" t="str">
        <f>_xlfn.XLOOKUP(C182,Customers!$A$2:$A$101,Customers!$B$2:$B$101)</f>
        <v>Customer 011</v>
      </c>
      <c r="K182" s="3" t="str">
        <f>_xlfn.XLOOKUP(C182,Customers!$A$2:$A$101,Customers!$C$2:$C$101)</f>
        <v>Manchester</v>
      </c>
      <c r="L182" s="3" t="str">
        <f>_xlfn.XLOOKUP(C182,Customers!$A$2:$A$101,Customers!$D$2:$D$101)</f>
        <v>Corporate</v>
      </c>
      <c r="M182" s="3">
        <f t="shared" si="5"/>
        <v>233.75</v>
      </c>
      <c r="N182" s="3">
        <f>E182*_xlfn.XLOOKUP(D182,Products!$A$2:$A$11,Products!$E$2:$E$11)</f>
        <v>135</v>
      </c>
      <c r="O182" s="3">
        <f t="shared" si="4"/>
        <v>98.75</v>
      </c>
    </row>
    <row r="183" spans="1:15" x14ac:dyDescent="0.3">
      <c r="A183" t="s">
        <v>279</v>
      </c>
      <c r="B183" s="1">
        <v>45820</v>
      </c>
      <c r="C183" t="s">
        <v>221</v>
      </c>
      <c r="D183" t="s">
        <v>33</v>
      </c>
      <c r="E183">
        <v>5</v>
      </c>
      <c r="F183" s="2">
        <v>0</v>
      </c>
      <c r="G183" s="2" t="str">
        <f>_xlfn.XLOOKUP(D183,Products!$A$2:$A$11,Products!$B$2:$B$11)</f>
        <v>Notebook Pack</v>
      </c>
      <c r="H183" s="2" t="str">
        <f>_xlfn.XLOOKUP(D183,Products!$A$2:$A$11,Products!$C$2:$C$11)</f>
        <v>Stationery</v>
      </c>
      <c r="I183" s="3">
        <f>_xlfn.XLOOKUP(D183,Products!$A$2:$A$11,Products!$D$2:$D$11)</f>
        <v>12</v>
      </c>
      <c r="J183" s="3" t="str">
        <f>_xlfn.XLOOKUP(C183,Customers!$A$2:$A$101,Customers!$B$2:$B$101)</f>
        <v>Customer 081</v>
      </c>
      <c r="K183" s="3" t="str">
        <f>_xlfn.XLOOKUP(C183,Customers!$A$2:$A$101,Customers!$C$2:$C$101)</f>
        <v>Sheffield</v>
      </c>
      <c r="L183" s="3" t="str">
        <f>_xlfn.XLOOKUP(C183,Customers!$A$2:$A$101,Customers!$D$2:$D$101)</f>
        <v>Consumer</v>
      </c>
      <c r="M183" s="3">
        <f t="shared" si="5"/>
        <v>60</v>
      </c>
      <c r="N183" s="3">
        <f>E183*_xlfn.XLOOKUP(D183,Products!$A$2:$A$11,Products!$E$2:$E$11)</f>
        <v>25</v>
      </c>
      <c r="O183" s="3">
        <f t="shared" si="4"/>
        <v>35</v>
      </c>
    </row>
    <row r="184" spans="1:15" x14ac:dyDescent="0.3">
      <c r="A184" t="s">
        <v>280</v>
      </c>
      <c r="B184" s="1">
        <v>45974</v>
      </c>
      <c r="C184" t="s">
        <v>10</v>
      </c>
      <c r="D184" t="s">
        <v>22</v>
      </c>
      <c r="E184">
        <v>3</v>
      </c>
      <c r="F184" s="2">
        <v>0.05</v>
      </c>
      <c r="G184" s="2" t="str">
        <f>_xlfn.XLOOKUP(D184,Products!$A$2:$A$11,Products!$B$2:$B$11)</f>
        <v>Desk Lamp</v>
      </c>
      <c r="H184" s="2" t="str">
        <f>_xlfn.XLOOKUP(D184,Products!$A$2:$A$11,Products!$C$2:$C$11)</f>
        <v>Office</v>
      </c>
      <c r="I184" s="3">
        <f>_xlfn.XLOOKUP(D184,Products!$A$2:$A$11,Products!$D$2:$D$11)</f>
        <v>30</v>
      </c>
      <c r="J184" s="3" t="str">
        <f>_xlfn.XLOOKUP(C184,Customers!$A$2:$A$101,Customers!$B$2:$B$101)</f>
        <v>Customer 009</v>
      </c>
      <c r="K184" s="3" t="str">
        <f>_xlfn.XLOOKUP(C184,Customers!$A$2:$A$101,Customers!$C$2:$C$101)</f>
        <v>London</v>
      </c>
      <c r="L184" s="3" t="str">
        <f>_xlfn.XLOOKUP(C184,Customers!$A$2:$A$101,Customers!$D$2:$D$101)</f>
        <v>Consumer</v>
      </c>
      <c r="M184" s="3">
        <f t="shared" si="5"/>
        <v>85.5</v>
      </c>
      <c r="N184" s="3">
        <f>E184*_xlfn.XLOOKUP(D184,Products!$A$2:$A$11,Products!$E$2:$E$11)</f>
        <v>45</v>
      </c>
      <c r="O184" s="3">
        <f t="shared" si="4"/>
        <v>40.5</v>
      </c>
    </row>
    <row r="185" spans="1:15" x14ac:dyDescent="0.3">
      <c r="A185" t="s">
        <v>281</v>
      </c>
      <c r="B185" s="1">
        <v>45704</v>
      </c>
      <c r="C185" t="s">
        <v>116</v>
      </c>
      <c r="D185" t="s">
        <v>30</v>
      </c>
      <c r="E185">
        <v>1</v>
      </c>
      <c r="F185" s="2">
        <v>0.15</v>
      </c>
      <c r="G185" s="2" t="str">
        <f>_xlfn.XLOOKUP(D185,Products!$A$2:$A$11,Products!$B$2:$B$11)</f>
        <v>Wireless Mouse</v>
      </c>
      <c r="H185" s="2" t="str">
        <f>_xlfn.XLOOKUP(D185,Products!$A$2:$A$11,Products!$C$2:$C$11)</f>
        <v>Electronics</v>
      </c>
      <c r="I185" s="3">
        <f>_xlfn.XLOOKUP(D185,Products!$A$2:$A$11,Products!$D$2:$D$11)</f>
        <v>25</v>
      </c>
      <c r="J185" s="3" t="str">
        <f>_xlfn.XLOOKUP(C185,Customers!$A$2:$A$101,Customers!$B$2:$B$101)</f>
        <v>Customer 056</v>
      </c>
      <c r="K185" s="3" t="str">
        <f>_xlfn.XLOOKUP(C185,Customers!$A$2:$A$101,Customers!$C$2:$C$101)</f>
        <v>Leeds</v>
      </c>
      <c r="L185" s="3" t="str">
        <f>_xlfn.XLOOKUP(C185,Customers!$A$2:$A$101,Customers!$D$2:$D$101)</f>
        <v>Small Business</v>
      </c>
      <c r="M185" s="3">
        <f t="shared" si="5"/>
        <v>21.25</v>
      </c>
      <c r="N185" s="3">
        <f>E185*_xlfn.XLOOKUP(D185,Products!$A$2:$A$11,Products!$E$2:$E$11)</f>
        <v>12</v>
      </c>
      <c r="O185" s="3">
        <f t="shared" si="4"/>
        <v>9.25</v>
      </c>
    </row>
    <row r="186" spans="1:15" x14ac:dyDescent="0.3">
      <c r="A186" t="s">
        <v>282</v>
      </c>
      <c r="B186" s="1">
        <v>45743</v>
      </c>
      <c r="C186" t="s">
        <v>151</v>
      </c>
      <c r="D186" t="s">
        <v>60</v>
      </c>
      <c r="E186">
        <v>1</v>
      </c>
      <c r="F186" s="2">
        <v>0</v>
      </c>
      <c r="G186" s="2" t="str">
        <f>_xlfn.XLOOKUP(D186,Products!$A$2:$A$11,Products!$B$2:$B$11)</f>
        <v>Water Bottle</v>
      </c>
      <c r="H186" s="2" t="str">
        <f>_xlfn.XLOOKUP(D186,Products!$A$2:$A$11,Products!$C$2:$C$11)</f>
        <v>Lifestyle</v>
      </c>
      <c r="I186" s="3">
        <f>_xlfn.XLOOKUP(D186,Products!$A$2:$A$11,Products!$D$2:$D$11)</f>
        <v>18</v>
      </c>
      <c r="J186" s="3" t="str">
        <f>_xlfn.XLOOKUP(C186,Customers!$A$2:$A$101,Customers!$B$2:$B$101)</f>
        <v>Customer 089</v>
      </c>
      <c r="K186" s="3" t="str">
        <f>_xlfn.XLOOKUP(C186,Customers!$A$2:$A$101,Customers!$C$2:$C$101)</f>
        <v>Bristol</v>
      </c>
      <c r="L186" s="3" t="str">
        <f>_xlfn.XLOOKUP(C186,Customers!$A$2:$A$101,Customers!$D$2:$D$101)</f>
        <v>Consumer</v>
      </c>
      <c r="M186" s="3">
        <f t="shared" si="5"/>
        <v>18</v>
      </c>
      <c r="N186" s="3">
        <f>E186*_xlfn.XLOOKUP(D186,Products!$A$2:$A$11,Products!$E$2:$E$11)</f>
        <v>7</v>
      </c>
      <c r="O186" s="3">
        <f t="shared" si="4"/>
        <v>11</v>
      </c>
    </row>
    <row r="187" spans="1:15" x14ac:dyDescent="0.3">
      <c r="A187" t="s">
        <v>283</v>
      </c>
      <c r="B187" s="1">
        <v>45824</v>
      </c>
      <c r="C187" t="s">
        <v>154</v>
      </c>
      <c r="D187" t="s">
        <v>60</v>
      </c>
      <c r="E187">
        <v>3</v>
      </c>
      <c r="F187" s="2">
        <v>0.1</v>
      </c>
      <c r="G187" s="2" t="str">
        <f>_xlfn.XLOOKUP(D187,Products!$A$2:$A$11,Products!$B$2:$B$11)</f>
        <v>Water Bottle</v>
      </c>
      <c r="H187" s="2" t="str">
        <f>_xlfn.XLOOKUP(D187,Products!$A$2:$A$11,Products!$C$2:$C$11)</f>
        <v>Lifestyle</v>
      </c>
      <c r="I187" s="3">
        <f>_xlfn.XLOOKUP(D187,Products!$A$2:$A$11,Products!$D$2:$D$11)</f>
        <v>18</v>
      </c>
      <c r="J187" s="3" t="str">
        <f>_xlfn.XLOOKUP(C187,Customers!$A$2:$A$101,Customers!$B$2:$B$101)</f>
        <v>Customer 008</v>
      </c>
      <c r="K187" s="3" t="str">
        <f>_xlfn.XLOOKUP(C187,Customers!$A$2:$A$101,Customers!$C$2:$C$101)</f>
        <v>Bristol</v>
      </c>
      <c r="L187" s="3" t="str">
        <f>_xlfn.XLOOKUP(C187,Customers!$A$2:$A$101,Customers!$D$2:$D$101)</f>
        <v>Small Business</v>
      </c>
      <c r="M187" s="3">
        <f t="shared" si="5"/>
        <v>48.6</v>
      </c>
      <c r="N187" s="3">
        <f>E187*_xlfn.XLOOKUP(D187,Products!$A$2:$A$11,Products!$E$2:$E$11)</f>
        <v>21</v>
      </c>
      <c r="O187" s="3">
        <f t="shared" si="4"/>
        <v>27.6</v>
      </c>
    </row>
    <row r="188" spans="1:15" x14ac:dyDescent="0.3">
      <c r="A188" t="s">
        <v>284</v>
      </c>
      <c r="B188" s="1">
        <v>45878</v>
      </c>
      <c r="C188" t="s">
        <v>135</v>
      </c>
      <c r="D188" t="s">
        <v>22</v>
      </c>
      <c r="E188">
        <v>5</v>
      </c>
      <c r="F188" s="2">
        <v>0.15</v>
      </c>
      <c r="G188" s="2" t="str">
        <f>_xlfn.XLOOKUP(D188,Products!$A$2:$A$11,Products!$B$2:$B$11)</f>
        <v>Desk Lamp</v>
      </c>
      <c r="H188" s="2" t="str">
        <f>_xlfn.XLOOKUP(D188,Products!$A$2:$A$11,Products!$C$2:$C$11)</f>
        <v>Office</v>
      </c>
      <c r="I188" s="3">
        <f>_xlfn.XLOOKUP(D188,Products!$A$2:$A$11,Products!$D$2:$D$11)</f>
        <v>30</v>
      </c>
      <c r="J188" s="3" t="str">
        <f>_xlfn.XLOOKUP(C188,Customers!$A$2:$A$101,Customers!$B$2:$B$101)</f>
        <v>Customer 019</v>
      </c>
      <c r="K188" s="3" t="str">
        <f>_xlfn.XLOOKUP(C188,Customers!$A$2:$A$101,Customers!$C$2:$C$101)</f>
        <v>Manchester</v>
      </c>
      <c r="L188" s="3" t="str">
        <f>_xlfn.XLOOKUP(C188,Customers!$A$2:$A$101,Customers!$D$2:$D$101)</f>
        <v>Corporate</v>
      </c>
      <c r="M188" s="3">
        <f t="shared" si="5"/>
        <v>127.5</v>
      </c>
      <c r="N188" s="3">
        <f>E188*_xlfn.XLOOKUP(D188,Products!$A$2:$A$11,Products!$E$2:$E$11)</f>
        <v>75</v>
      </c>
      <c r="O188" s="3">
        <f t="shared" si="4"/>
        <v>52.5</v>
      </c>
    </row>
    <row r="189" spans="1:15" x14ac:dyDescent="0.3">
      <c r="A189" t="s">
        <v>285</v>
      </c>
      <c r="B189" s="1">
        <v>45947</v>
      </c>
      <c r="C189" t="s">
        <v>233</v>
      </c>
      <c r="D189" t="s">
        <v>46</v>
      </c>
      <c r="E189">
        <v>2</v>
      </c>
      <c r="F189" s="2">
        <v>0.05</v>
      </c>
      <c r="G189" s="2" t="str">
        <f>_xlfn.XLOOKUP(D189,Products!$A$2:$A$11,Products!$B$2:$B$11)</f>
        <v>Keyboard</v>
      </c>
      <c r="H189" s="2" t="str">
        <f>_xlfn.XLOOKUP(D189,Products!$A$2:$A$11,Products!$C$2:$C$11)</f>
        <v>Electronics</v>
      </c>
      <c r="I189" s="3">
        <f>_xlfn.XLOOKUP(D189,Products!$A$2:$A$11,Products!$D$2:$D$11)</f>
        <v>45</v>
      </c>
      <c r="J189" s="3" t="str">
        <f>_xlfn.XLOOKUP(C189,Customers!$A$2:$A$101,Customers!$B$2:$B$101)</f>
        <v>Customer 088</v>
      </c>
      <c r="K189" s="3" t="str">
        <f>_xlfn.XLOOKUP(C189,Customers!$A$2:$A$101,Customers!$C$2:$C$101)</f>
        <v>Sheffield</v>
      </c>
      <c r="L189" s="3" t="str">
        <f>_xlfn.XLOOKUP(C189,Customers!$A$2:$A$101,Customers!$D$2:$D$101)</f>
        <v>Small Business</v>
      </c>
      <c r="M189" s="3">
        <f t="shared" si="5"/>
        <v>85.5</v>
      </c>
      <c r="N189" s="3">
        <f>E189*_xlfn.XLOOKUP(D189,Products!$A$2:$A$11,Products!$E$2:$E$11)</f>
        <v>44</v>
      </c>
      <c r="O189" s="3">
        <f t="shared" si="4"/>
        <v>41.5</v>
      </c>
    </row>
    <row r="190" spans="1:15" x14ac:dyDescent="0.3">
      <c r="A190" t="s">
        <v>286</v>
      </c>
      <c r="B190" s="1">
        <v>45698</v>
      </c>
      <c r="C190" t="s">
        <v>137</v>
      </c>
      <c r="D190" t="s">
        <v>16</v>
      </c>
      <c r="E190">
        <v>5</v>
      </c>
      <c r="F190" s="2">
        <v>0.05</v>
      </c>
      <c r="G190" s="2" t="str">
        <f>_xlfn.XLOOKUP(D190,Products!$A$2:$A$11,Products!$B$2:$B$11)</f>
        <v>Headphones</v>
      </c>
      <c r="H190" s="2" t="str">
        <f>_xlfn.XLOOKUP(D190,Products!$A$2:$A$11,Products!$C$2:$C$11)</f>
        <v>Electronics</v>
      </c>
      <c r="I190" s="3">
        <f>_xlfn.XLOOKUP(D190,Products!$A$2:$A$11,Products!$D$2:$D$11)</f>
        <v>75</v>
      </c>
      <c r="J190" s="3" t="str">
        <f>_xlfn.XLOOKUP(C190,Customers!$A$2:$A$101,Customers!$B$2:$B$101)</f>
        <v>Customer 079</v>
      </c>
      <c r="K190" s="3" t="str">
        <f>_xlfn.XLOOKUP(C190,Customers!$A$2:$A$101,Customers!$C$2:$C$101)</f>
        <v>Birmingham</v>
      </c>
      <c r="L190" s="3" t="str">
        <f>_xlfn.XLOOKUP(C190,Customers!$A$2:$A$101,Customers!$D$2:$D$101)</f>
        <v>Corporate</v>
      </c>
      <c r="M190" s="3">
        <f t="shared" si="5"/>
        <v>356.25</v>
      </c>
      <c r="N190" s="3">
        <f>E190*_xlfn.XLOOKUP(D190,Products!$A$2:$A$11,Products!$E$2:$E$11)</f>
        <v>200</v>
      </c>
      <c r="O190" s="3">
        <f t="shared" si="4"/>
        <v>156.25</v>
      </c>
    </row>
    <row r="191" spans="1:15" x14ac:dyDescent="0.3">
      <c r="A191" t="s">
        <v>287</v>
      </c>
      <c r="B191" s="1">
        <v>45912</v>
      </c>
      <c r="C191" t="s">
        <v>180</v>
      </c>
      <c r="D191" t="s">
        <v>46</v>
      </c>
      <c r="E191">
        <v>2</v>
      </c>
      <c r="F191" s="2">
        <v>0.15</v>
      </c>
      <c r="G191" s="2" t="str">
        <f>_xlfn.XLOOKUP(D191,Products!$A$2:$A$11,Products!$B$2:$B$11)</f>
        <v>Keyboard</v>
      </c>
      <c r="H191" s="2" t="str">
        <f>_xlfn.XLOOKUP(D191,Products!$A$2:$A$11,Products!$C$2:$C$11)</f>
        <v>Electronics</v>
      </c>
      <c r="I191" s="3">
        <f>_xlfn.XLOOKUP(D191,Products!$A$2:$A$11,Products!$D$2:$D$11)</f>
        <v>45</v>
      </c>
      <c r="J191" s="3" t="str">
        <f>_xlfn.XLOOKUP(C191,Customers!$A$2:$A$101,Customers!$B$2:$B$101)</f>
        <v>Customer 075</v>
      </c>
      <c r="K191" s="3" t="str">
        <f>_xlfn.XLOOKUP(C191,Customers!$A$2:$A$101,Customers!$C$2:$C$101)</f>
        <v>Leeds</v>
      </c>
      <c r="L191" s="3" t="str">
        <f>_xlfn.XLOOKUP(C191,Customers!$A$2:$A$101,Customers!$D$2:$D$101)</f>
        <v>Corporate</v>
      </c>
      <c r="M191" s="3">
        <f t="shared" si="5"/>
        <v>76.5</v>
      </c>
      <c r="N191" s="3">
        <f>E191*_xlfn.XLOOKUP(D191,Products!$A$2:$A$11,Products!$E$2:$E$11)</f>
        <v>44</v>
      </c>
      <c r="O191" s="3">
        <f t="shared" si="4"/>
        <v>32.5</v>
      </c>
    </row>
    <row r="192" spans="1:15" x14ac:dyDescent="0.3">
      <c r="A192" t="s">
        <v>288</v>
      </c>
      <c r="B192" s="1">
        <v>45984</v>
      </c>
      <c r="C192" t="s">
        <v>170</v>
      </c>
      <c r="D192" t="s">
        <v>33</v>
      </c>
      <c r="E192">
        <v>3</v>
      </c>
      <c r="F192" s="2">
        <v>0</v>
      </c>
      <c r="G192" s="2" t="str">
        <f>_xlfn.XLOOKUP(D192,Products!$A$2:$A$11,Products!$B$2:$B$11)</f>
        <v>Notebook Pack</v>
      </c>
      <c r="H192" s="2" t="str">
        <f>_xlfn.XLOOKUP(D192,Products!$A$2:$A$11,Products!$C$2:$C$11)</f>
        <v>Stationery</v>
      </c>
      <c r="I192" s="3">
        <f>_xlfn.XLOOKUP(D192,Products!$A$2:$A$11,Products!$D$2:$D$11)</f>
        <v>12</v>
      </c>
      <c r="J192" s="3" t="str">
        <f>_xlfn.XLOOKUP(C192,Customers!$A$2:$A$101,Customers!$B$2:$B$101)</f>
        <v>Customer 033</v>
      </c>
      <c r="K192" s="3" t="str">
        <f>_xlfn.XLOOKUP(C192,Customers!$A$2:$A$101,Customers!$C$2:$C$101)</f>
        <v>Bristol</v>
      </c>
      <c r="L192" s="3" t="str">
        <f>_xlfn.XLOOKUP(C192,Customers!$A$2:$A$101,Customers!$D$2:$D$101)</f>
        <v>Consumer</v>
      </c>
      <c r="M192" s="3">
        <f t="shared" si="5"/>
        <v>36</v>
      </c>
      <c r="N192" s="3">
        <f>E192*_xlfn.XLOOKUP(D192,Products!$A$2:$A$11,Products!$E$2:$E$11)</f>
        <v>15</v>
      </c>
      <c r="O192" s="3">
        <f t="shared" si="4"/>
        <v>21</v>
      </c>
    </row>
    <row r="193" spans="1:15" x14ac:dyDescent="0.3">
      <c r="A193" t="s">
        <v>289</v>
      </c>
      <c r="B193" s="1">
        <v>45896</v>
      </c>
      <c r="C193" t="s">
        <v>58</v>
      </c>
      <c r="D193" t="s">
        <v>11</v>
      </c>
      <c r="E193">
        <v>2</v>
      </c>
      <c r="F193" s="2">
        <v>0</v>
      </c>
      <c r="G193" s="2" t="str">
        <f>_xlfn.XLOOKUP(D193,Products!$A$2:$A$11,Products!$B$2:$B$11)</f>
        <v>Office Chair</v>
      </c>
      <c r="H193" s="2" t="str">
        <f>_xlfn.XLOOKUP(D193,Products!$A$2:$A$11,Products!$C$2:$C$11)</f>
        <v>Office</v>
      </c>
      <c r="I193" s="3">
        <f>_xlfn.XLOOKUP(D193,Products!$A$2:$A$11,Products!$D$2:$D$11)</f>
        <v>180</v>
      </c>
      <c r="J193" s="3" t="str">
        <f>_xlfn.XLOOKUP(C193,Customers!$A$2:$A$101,Customers!$B$2:$B$101)</f>
        <v>Customer 037</v>
      </c>
      <c r="K193" s="3" t="str">
        <f>_xlfn.XLOOKUP(C193,Customers!$A$2:$A$101,Customers!$C$2:$C$101)</f>
        <v>London</v>
      </c>
      <c r="L193" s="3" t="str">
        <f>_xlfn.XLOOKUP(C193,Customers!$A$2:$A$101,Customers!$D$2:$D$101)</f>
        <v>Consumer</v>
      </c>
      <c r="M193" s="3">
        <f t="shared" si="5"/>
        <v>360</v>
      </c>
      <c r="N193" s="3">
        <f>E193*_xlfn.XLOOKUP(D193,Products!$A$2:$A$11,Products!$E$2:$E$11)</f>
        <v>210</v>
      </c>
      <c r="O193" s="3">
        <f t="shared" si="4"/>
        <v>150</v>
      </c>
    </row>
    <row r="194" spans="1:15" x14ac:dyDescent="0.3">
      <c r="A194" t="s">
        <v>290</v>
      </c>
      <c r="B194" s="1">
        <v>45884</v>
      </c>
      <c r="C194" t="s">
        <v>80</v>
      </c>
      <c r="D194" t="s">
        <v>8</v>
      </c>
      <c r="E194">
        <v>3</v>
      </c>
      <c r="F194" s="2">
        <v>0.15</v>
      </c>
      <c r="G194" s="2" t="str">
        <f>_xlfn.XLOOKUP(D194,Products!$A$2:$A$11,Products!$B$2:$B$11)</f>
        <v>USB-C Hub</v>
      </c>
      <c r="H194" s="2" t="str">
        <f>_xlfn.XLOOKUP(D194,Products!$A$2:$A$11,Products!$C$2:$C$11)</f>
        <v>Electronics</v>
      </c>
      <c r="I194" s="3">
        <f>_xlfn.XLOOKUP(D194,Products!$A$2:$A$11,Products!$D$2:$D$11)</f>
        <v>40</v>
      </c>
      <c r="J194" s="3" t="str">
        <f>_xlfn.XLOOKUP(C194,Customers!$A$2:$A$101,Customers!$B$2:$B$101)</f>
        <v>Customer 045</v>
      </c>
      <c r="K194" s="3" t="str">
        <f>_xlfn.XLOOKUP(C194,Customers!$A$2:$A$101,Customers!$C$2:$C$101)</f>
        <v>Sheffield</v>
      </c>
      <c r="L194" s="3" t="str">
        <f>_xlfn.XLOOKUP(C194,Customers!$A$2:$A$101,Customers!$D$2:$D$101)</f>
        <v>Consumer</v>
      </c>
      <c r="M194" s="3">
        <f t="shared" si="5"/>
        <v>102</v>
      </c>
      <c r="N194" s="3">
        <f>E194*_xlfn.XLOOKUP(D194,Products!$A$2:$A$11,Products!$E$2:$E$11)</f>
        <v>57</v>
      </c>
      <c r="O194" s="3">
        <f t="shared" si="4"/>
        <v>45</v>
      </c>
    </row>
    <row r="195" spans="1:15" x14ac:dyDescent="0.3">
      <c r="A195" t="s">
        <v>291</v>
      </c>
      <c r="B195" s="1">
        <v>46011</v>
      </c>
      <c r="C195" t="s">
        <v>170</v>
      </c>
      <c r="D195" t="s">
        <v>33</v>
      </c>
      <c r="E195">
        <v>3</v>
      </c>
      <c r="F195" s="2">
        <v>0.05</v>
      </c>
      <c r="G195" s="2" t="str">
        <f>_xlfn.XLOOKUP(D195,Products!$A$2:$A$11,Products!$B$2:$B$11)</f>
        <v>Notebook Pack</v>
      </c>
      <c r="H195" s="2" t="str">
        <f>_xlfn.XLOOKUP(D195,Products!$A$2:$A$11,Products!$C$2:$C$11)</f>
        <v>Stationery</v>
      </c>
      <c r="I195" s="3">
        <f>_xlfn.XLOOKUP(D195,Products!$A$2:$A$11,Products!$D$2:$D$11)</f>
        <v>12</v>
      </c>
      <c r="J195" s="3" t="str">
        <f>_xlfn.XLOOKUP(C195,Customers!$A$2:$A$101,Customers!$B$2:$B$101)</f>
        <v>Customer 033</v>
      </c>
      <c r="K195" s="3" t="str">
        <f>_xlfn.XLOOKUP(C195,Customers!$A$2:$A$101,Customers!$C$2:$C$101)</f>
        <v>Bristol</v>
      </c>
      <c r="L195" s="3" t="str">
        <f>_xlfn.XLOOKUP(C195,Customers!$A$2:$A$101,Customers!$D$2:$D$101)</f>
        <v>Consumer</v>
      </c>
      <c r="M195" s="3">
        <f t="shared" si="5"/>
        <v>34.199999999999996</v>
      </c>
      <c r="N195" s="3">
        <f>E195*_xlfn.XLOOKUP(D195,Products!$A$2:$A$11,Products!$E$2:$E$11)</f>
        <v>15</v>
      </c>
      <c r="O195" s="3">
        <f t="shared" ref="O195:O258" si="6">M195-N195</f>
        <v>19.199999999999996</v>
      </c>
    </row>
    <row r="196" spans="1:15" x14ac:dyDescent="0.3">
      <c r="A196" t="s">
        <v>292</v>
      </c>
      <c r="B196" s="1">
        <v>45854</v>
      </c>
      <c r="C196" t="s">
        <v>54</v>
      </c>
      <c r="D196" t="s">
        <v>30</v>
      </c>
      <c r="E196">
        <v>2</v>
      </c>
      <c r="F196" s="2">
        <v>0.15</v>
      </c>
      <c r="G196" s="2" t="str">
        <f>_xlfn.XLOOKUP(D196,Products!$A$2:$A$11,Products!$B$2:$B$11)</f>
        <v>Wireless Mouse</v>
      </c>
      <c r="H196" s="2" t="str">
        <f>_xlfn.XLOOKUP(D196,Products!$A$2:$A$11,Products!$C$2:$C$11)</f>
        <v>Electronics</v>
      </c>
      <c r="I196" s="3">
        <f>_xlfn.XLOOKUP(D196,Products!$A$2:$A$11,Products!$D$2:$D$11)</f>
        <v>25</v>
      </c>
      <c r="J196" s="3" t="str">
        <f>_xlfn.XLOOKUP(C196,Customers!$A$2:$A$101,Customers!$B$2:$B$101)</f>
        <v>Customer 062</v>
      </c>
      <c r="K196" s="3" t="str">
        <f>_xlfn.XLOOKUP(C196,Customers!$A$2:$A$101,Customers!$C$2:$C$101)</f>
        <v>Leeds</v>
      </c>
      <c r="L196" s="3" t="str">
        <f>_xlfn.XLOOKUP(C196,Customers!$A$2:$A$101,Customers!$D$2:$D$101)</f>
        <v>Consumer</v>
      </c>
      <c r="M196" s="3">
        <f t="shared" ref="M196:M259" si="7">E196*I196*(1-F196)</f>
        <v>42.5</v>
      </c>
      <c r="N196" s="3">
        <f>E196*_xlfn.XLOOKUP(D196,Products!$A$2:$A$11,Products!$E$2:$E$11)</f>
        <v>24</v>
      </c>
      <c r="O196" s="3">
        <f t="shared" si="6"/>
        <v>18.5</v>
      </c>
    </row>
    <row r="197" spans="1:15" x14ac:dyDescent="0.3">
      <c r="A197" t="s">
        <v>293</v>
      </c>
      <c r="B197" s="1">
        <v>45950</v>
      </c>
      <c r="C197" t="s">
        <v>99</v>
      </c>
      <c r="D197" t="s">
        <v>8</v>
      </c>
      <c r="E197">
        <v>3</v>
      </c>
      <c r="F197" s="2">
        <v>0.1</v>
      </c>
      <c r="G197" s="2" t="str">
        <f>_xlfn.XLOOKUP(D197,Products!$A$2:$A$11,Products!$B$2:$B$11)</f>
        <v>USB-C Hub</v>
      </c>
      <c r="H197" s="2" t="str">
        <f>_xlfn.XLOOKUP(D197,Products!$A$2:$A$11,Products!$C$2:$C$11)</f>
        <v>Electronics</v>
      </c>
      <c r="I197" s="3">
        <f>_xlfn.XLOOKUP(D197,Products!$A$2:$A$11,Products!$D$2:$D$11)</f>
        <v>40</v>
      </c>
      <c r="J197" s="3" t="str">
        <f>_xlfn.XLOOKUP(C197,Customers!$A$2:$A$101,Customers!$B$2:$B$101)</f>
        <v>Customer 046</v>
      </c>
      <c r="K197" s="3" t="str">
        <f>_xlfn.XLOOKUP(C197,Customers!$A$2:$A$101,Customers!$C$2:$C$101)</f>
        <v>Bristol</v>
      </c>
      <c r="L197" s="3" t="str">
        <f>_xlfn.XLOOKUP(C197,Customers!$A$2:$A$101,Customers!$D$2:$D$101)</f>
        <v>Corporate</v>
      </c>
      <c r="M197" s="3">
        <f t="shared" si="7"/>
        <v>108</v>
      </c>
      <c r="N197" s="3">
        <f>E197*_xlfn.XLOOKUP(D197,Products!$A$2:$A$11,Products!$E$2:$E$11)</f>
        <v>57</v>
      </c>
      <c r="O197" s="3">
        <f t="shared" si="6"/>
        <v>51</v>
      </c>
    </row>
    <row r="198" spans="1:15" x14ac:dyDescent="0.3">
      <c r="A198" t="s">
        <v>294</v>
      </c>
      <c r="B198" s="1">
        <v>45669</v>
      </c>
      <c r="C198" t="s">
        <v>132</v>
      </c>
      <c r="D198" t="s">
        <v>16</v>
      </c>
      <c r="E198">
        <v>3</v>
      </c>
      <c r="F198" s="2">
        <v>0</v>
      </c>
      <c r="G198" s="2" t="str">
        <f>_xlfn.XLOOKUP(D198,Products!$A$2:$A$11,Products!$B$2:$B$11)</f>
        <v>Headphones</v>
      </c>
      <c r="H198" s="2" t="str">
        <f>_xlfn.XLOOKUP(D198,Products!$A$2:$A$11,Products!$C$2:$C$11)</f>
        <v>Electronics</v>
      </c>
      <c r="I198" s="3">
        <f>_xlfn.XLOOKUP(D198,Products!$A$2:$A$11,Products!$D$2:$D$11)</f>
        <v>75</v>
      </c>
      <c r="J198" s="3" t="str">
        <f>_xlfn.XLOOKUP(C198,Customers!$A$2:$A$101,Customers!$B$2:$B$101)</f>
        <v>Customer 085</v>
      </c>
      <c r="K198" s="3" t="str">
        <f>_xlfn.XLOOKUP(C198,Customers!$A$2:$A$101,Customers!$C$2:$C$101)</f>
        <v>Birmingham</v>
      </c>
      <c r="L198" s="3" t="str">
        <f>_xlfn.XLOOKUP(C198,Customers!$A$2:$A$101,Customers!$D$2:$D$101)</f>
        <v>Small Business</v>
      </c>
      <c r="M198" s="3">
        <f t="shared" si="7"/>
        <v>225</v>
      </c>
      <c r="N198" s="3">
        <f>E198*_xlfn.XLOOKUP(D198,Products!$A$2:$A$11,Products!$E$2:$E$11)</f>
        <v>120</v>
      </c>
      <c r="O198" s="3">
        <f t="shared" si="6"/>
        <v>105</v>
      </c>
    </row>
    <row r="199" spans="1:15" x14ac:dyDescent="0.3">
      <c r="A199" t="s">
        <v>295</v>
      </c>
      <c r="B199" s="1">
        <v>45947</v>
      </c>
      <c r="C199" t="s">
        <v>233</v>
      </c>
      <c r="D199" t="s">
        <v>27</v>
      </c>
      <c r="E199">
        <v>5</v>
      </c>
      <c r="F199" s="2">
        <v>0.15</v>
      </c>
      <c r="G199" s="2" t="str">
        <f>_xlfn.XLOOKUP(D199,Products!$A$2:$A$11,Products!$B$2:$B$11)</f>
        <v>Laptop Stand</v>
      </c>
      <c r="H199" s="2" t="str">
        <f>_xlfn.XLOOKUP(D199,Products!$A$2:$A$11,Products!$C$2:$C$11)</f>
        <v>Office</v>
      </c>
      <c r="I199" s="3">
        <f>_xlfn.XLOOKUP(D199,Products!$A$2:$A$11,Products!$D$2:$D$11)</f>
        <v>35</v>
      </c>
      <c r="J199" s="3" t="str">
        <f>_xlfn.XLOOKUP(C199,Customers!$A$2:$A$101,Customers!$B$2:$B$101)</f>
        <v>Customer 088</v>
      </c>
      <c r="K199" s="3" t="str">
        <f>_xlfn.XLOOKUP(C199,Customers!$A$2:$A$101,Customers!$C$2:$C$101)</f>
        <v>Sheffield</v>
      </c>
      <c r="L199" s="3" t="str">
        <f>_xlfn.XLOOKUP(C199,Customers!$A$2:$A$101,Customers!$D$2:$D$101)</f>
        <v>Small Business</v>
      </c>
      <c r="M199" s="3">
        <f t="shared" si="7"/>
        <v>148.75</v>
      </c>
      <c r="N199" s="3">
        <f>E199*_xlfn.XLOOKUP(D199,Products!$A$2:$A$11,Products!$E$2:$E$11)</f>
        <v>100</v>
      </c>
      <c r="O199" s="3">
        <f t="shared" si="6"/>
        <v>48.75</v>
      </c>
    </row>
    <row r="200" spans="1:15" x14ac:dyDescent="0.3">
      <c r="A200" t="s">
        <v>296</v>
      </c>
      <c r="B200" s="1">
        <v>45804</v>
      </c>
      <c r="C200" t="s">
        <v>101</v>
      </c>
      <c r="D200" t="s">
        <v>22</v>
      </c>
      <c r="E200">
        <v>5</v>
      </c>
      <c r="F200" s="2">
        <v>0.1</v>
      </c>
      <c r="G200" s="2" t="str">
        <f>_xlfn.XLOOKUP(D200,Products!$A$2:$A$11,Products!$B$2:$B$11)</f>
        <v>Desk Lamp</v>
      </c>
      <c r="H200" s="2" t="str">
        <f>_xlfn.XLOOKUP(D200,Products!$A$2:$A$11,Products!$C$2:$C$11)</f>
        <v>Office</v>
      </c>
      <c r="I200" s="3">
        <f>_xlfn.XLOOKUP(D200,Products!$A$2:$A$11,Products!$D$2:$D$11)</f>
        <v>30</v>
      </c>
      <c r="J200" s="3" t="str">
        <f>_xlfn.XLOOKUP(C200,Customers!$A$2:$A$101,Customers!$B$2:$B$101)</f>
        <v>Customer 100</v>
      </c>
      <c r="K200" s="3" t="str">
        <f>_xlfn.XLOOKUP(C200,Customers!$A$2:$A$101,Customers!$C$2:$C$101)</f>
        <v>Birmingham</v>
      </c>
      <c r="L200" s="3" t="str">
        <f>_xlfn.XLOOKUP(C200,Customers!$A$2:$A$101,Customers!$D$2:$D$101)</f>
        <v>Consumer</v>
      </c>
      <c r="M200" s="3">
        <f t="shared" si="7"/>
        <v>135</v>
      </c>
      <c r="N200" s="3">
        <f>E200*_xlfn.XLOOKUP(D200,Products!$A$2:$A$11,Products!$E$2:$E$11)</f>
        <v>75</v>
      </c>
      <c r="O200" s="3">
        <f t="shared" si="6"/>
        <v>60</v>
      </c>
    </row>
    <row r="201" spans="1:15" x14ac:dyDescent="0.3">
      <c r="A201" t="s">
        <v>297</v>
      </c>
      <c r="B201" s="1">
        <v>45770</v>
      </c>
      <c r="C201" t="s">
        <v>89</v>
      </c>
      <c r="D201" t="s">
        <v>22</v>
      </c>
      <c r="E201">
        <v>5</v>
      </c>
      <c r="F201" s="2">
        <v>0.1</v>
      </c>
      <c r="G201" s="2" t="str">
        <f>_xlfn.XLOOKUP(D201,Products!$A$2:$A$11,Products!$B$2:$B$11)</f>
        <v>Desk Lamp</v>
      </c>
      <c r="H201" s="2" t="str">
        <f>_xlfn.XLOOKUP(D201,Products!$A$2:$A$11,Products!$C$2:$C$11)</f>
        <v>Office</v>
      </c>
      <c r="I201" s="3">
        <f>_xlfn.XLOOKUP(D201,Products!$A$2:$A$11,Products!$D$2:$D$11)</f>
        <v>30</v>
      </c>
      <c r="J201" s="3" t="str">
        <f>_xlfn.XLOOKUP(C201,Customers!$A$2:$A$101,Customers!$B$2:$B$101)</f>
        <v>Customer 082</v>
      </c>
      <c r="K201" s="3" t="str">
        <f>_xlfn.XLOOKUP(C201,Customers!$A$2:$A$101,Customers!$C$2:$C$101)</f>
        <v>Sheffield</v>
      </c>
      <c r="L201" s="3" t="str">
        <f>_xlfn.XLOOKUP(C201,Customers!$A$2:$A$101,Customers!$D$2:$D$101)</f>
        <v>Corporate</v>
      </c>
      <c r="M201" s="3">
        <f t="shared" si="7"/>
        <v>135</v>
      </c>
      <c r="N201" s="3">
        <f>E201*_xlfn.XLOOKUP(D201,Products!$A$2:$A$11,Products!$E$2:$E$11)</f>
        <v>75</v>
      </c>
      <c r="O201" s="3">
        <f t="shared" si="6"/>
        <v>60</v>
      </c>
    </row>
    <row r="202" spans="1:15" x14ac:dyDescent="0.3">
      <c r="A202" t="s">
        <v>298</v>
      </c>
      <c r="B202" s="1">
        <v>46005</v>
      </c>
      <c r="C202" t="s">
        <v>52</v>
      </c>
      <c r="D202" t="s">
        <v>46</v>
      </c>
      <c r="E202">
        <v>1</v>
      </c>
      <c r="F202" s="2">
        <v>0</v>
      </c>
      <c r="G202" s="2" t="str">
        <f>_xlfn.XLOOKUP(D202,Products!$A$2:$A$11,Products!$B$2:$B$11)</f>
        <v>Keyboard</v>
      </c>
      <c r="H202" s="2" t="str">
        <f>_xlfn.XLOOKUP(D202,Products!$A$2:$A$11,Products!$C$2:$C$11)</f>
        <v>Electronics</v>
      </c>
      <c r="I202" s="3">
        <f>_xlfn.XLOOKUP(D202,Products!$A$2:$A$11,Products!$D$2:$D$11)</f>
        <v>45</v>
      </c>
      <c r="J202" s="3" t="str">
        <f>_xlfn.XLOOKUP(C202,Customers!$A$2:$A$101,Customers!$B$2:$B$101)</f>
        <v>Customer 097</v>
      </c>
      <c r="K202" s="3" t="str">
        <f>_xlfn.XLOOKUP(C202,Customers!$A$2:$A$101,Customers!$C$2:$C$101)</f>
        <v>Bristol</v>
      </c>
      <c r="L202" s="3" t="str">
        <f>_xlfn.XLOOKUP(C202,Customers!$A$2:$A$101,Customers!$D$2:$D$101)</f>
        <v>Small Business</v>
      </c>
      <c r="M202" s="3">
        <f t="shared" si="7"/>
        <v>45</v>
      </c>
      <c r="N202" s="3">
        <f>E202*_xlfn.XLOOKUP(D202,Products!$A$2:$A$11,Products!$E$2:$E$11)</f>
        <v>22</v>
      </c>
      <c r="O202" s="3">
        <f t="shared" si="6"/>
        <v>23</v>
      </c>
    </row>
    <row r="203" spans="1:15" x14ac:dyDescent="0.3">
      <c r="A203" t="s">
        <v>299</v>
      </c>
      <c r="B203" s="1">
        <v>45816</v>
      </c>
      <c r="C203" t="s">
        <v>130</v>
      </c>
      <c r="D203" t="s">
        <v>27</v>
      </c>
      <c r="E203">
        <v>5</v>
      </c>
      <c r="F203" s="2">
        <v>0.1</v>
      </c>
      <c r="G203" s="2" t="str">
        <f>_xlfn.XLOOKUP(D203,Products!$A$2:$A$11,Products!$B$2:$B$11)</f>
        <v>Laptop Stand</v>
      </c>
      <c r="H203" s="2" t="str">
        <f>_xlfn.XLOOKUP(D203,Products!$A$2:$A$11,Products!$C$2:$C$11)</f>
        <v>Office</v>
      </c>
      <c r="I203" s="3">
        <f>_xlfn.XLOOKUP(D203,Products!$A$2:$A$11,Products!$D$2:$D$11)</f>
        <v>35</v>
      </c>
      <c r="J203" s="3" t="str">
        <f>_xlfn.XLOOKUP(C203,Customers!$A$2:$A$101,Customers!$B$2:$B$101)</f>
        <v>Customer 057</v>
      </c>
      <c r="K203" s="3" t="str">
        <f>_xlfn.XLOOKUP(C203,Customers!$A$2:$A$101,Customers!$C$2:$C$101)</f>
        <v>London</v>
      </c>
      <c r="L203" s="3" t="str">
        <f>_xlfn.XLOOKUP(C203,Customers!$A$2:$A$101,Customers!$D$2:$D$101)</f>
        <v>Consumer</v>
      </c>
      <c r="M203" s="3">
        <f t="shared" si="7"/>
        <v>157.5</v>
      </c>
      <c r="N203" s="3">
        <f>E203*_xlfn.XLOOKUP(D203,Products!$A$2:$A$11,Products!$E$2:$E$11)</f>
        <v>100</v>
      </c>
      <c r="O203" s="3">
        <f t="shared" si="6"/>
        <v>57.5</v>
      </c>
    </row>
    <row r="204" spans="1:15" x14ac:dyDescent="0.3">
      <c r="A204" t="s">
        <v>300</v>
      </c>
      <c r="B204" s="1">
        <v>45725</v>
      </c>
      <c r="C204" t="s">
        <v>194</v>
      </c>
      <c r="D204" t="s">
        <v>60</v>
      </c>
      <c r="E204">
        <v>3</v>
      </c>
      <c r="F204" s="2">
        <v>0.15</v>
      </c>
      <c r="G204" s="2" t="str">
        <f>_xlfn.XLOOKUP(D204,Products!$A$2:$A$11,Products!$B$2:$B$11)</f>
        <v>Water Bottle</v>
      </c>
      <c r="H204" s="2" t="str">
        <f>_xlfn.XLOOKUP(D204,Products!$A$2:$A$11,Products!$C$2:$C$11)</f>
        <v>Lifestyle</v>
      </c>
      <c r="I204" s="3">
        <f>_xlfn.XLOOKUP(D204,Products!$A$2:$A$11,Products!$D$2:$D$11)</f>
        <v>18</v>
      </c>
      <c r="J204" s="3" t="str">
        <f>_xlfn.XLOOKUP(C204,Customers!$A$2:$A$101,Customers!$B$2:$B$101)</f>
        <v>Customer 012</v>
      </c>
      <c r="K204" s="3" t="str">
        <f>_xlfn.XLOOKUP(C204,Customers!$A$2:$A$101,Customers!$C$2:$C$101)</f>
        <v>Bristol</v>
      </c>
      <c r="L204" s="3" t="str">
        <f>_xlfn.XLOOKUP(C204,Customers!$A$2:$A$101,Customers!$D$2:$D$101)</f>
        <v>Consumer</v>
      </c>
      <c r="M204" s="3">
        <f t="shared" si="7"/>
        <v>45.9</v>
      </c>
      <c r="N204" s="3">
        <f>E204*_xlfn.XLOOKUP(D204,Products!$A$2:$A$11,Products!$E$2:$E$11)</f>
        <v>21</v>
      </c>
      <c r="O204" s="3">
        <f t="shared" si="6"/>
        <v>24.9</v>
      </c>
    </row>
    <row r="205" spans="1:15" x14ac:dyDescent="0.3">
      <c r="A205" t="s">
        <v>301</v>
      </c>
      <c r="B205" s="1">
        <v>45747</v>
      </c>
      <c r="C205" t="s">
        <v>302</v>
      </c>
      <c r="D205" t="s">
        <v>46</v>
      </c>
      <c r="E205">
        <v>5</v>
      </c>
      <c r="F205" s="2">
        <v>0.1</v>
      </c>
      <c r="G205" s="2" t="str">
        <f>_xlfn.XLOOKUP(D205,Products!$A$2:$A$11,Products!$B$2:$B$11)</f>
        <v>Keyboard</v>
      </c>
      <c r="H205" s="2" t="str">
        <f>_xlfn.XLOOKUP(D205,Products!$A$2:$A$11,Products!$C$2:$C$11)</f>
        <v>Electronics</v>
      </c>
      <c r="I205" s="3">
        <f>_xlfn.XLOOKUP(D205,Products!$A$2:$A$11,Products!$D$2:$D$11)</f>
        <v>45</v>
      </c>
      <c r="J205" s="3" t="str">
        <f>_xlfn.XLOOKUP(C205,Customers!$A$2:$A$101,Customers!$B$2:$B$101)</f>
        <v>Customer 026</v>
      </c>
      <c r="K205" s="3" t="str">
        <f>_xlfn.XLOOKUP(C205,Customers!$A$2:$A$101,Customers!$C$2:$C$101)</f>
        <v>Bristol</v>
      </c>
      <c r="L205" s="3" t="str">
        <f>_xlfn.XLOOKUP(C205,Customers!$A$2:$A$101,Customers!$D$2:$D$101)</f>
        <v>Small Business</v>
      </c>
      <c r="M205" s="3">
        <f t="shared" si="7"/>
        <v>202.5</v>
      </c>
      <c r="N205" s="3">
        <f>E205*_xlfn.XLOOKUP(D205,Products!$A$2:$A$11,Products!$E$2:$E$11)</f>
        <v>110</v>
      </c>
      <c r="O205" s="3">
        <f t="shared" si="6"/>
        <v>92.5</v>
      </c>
    </row>
    <row r="206" spans="1:15" x14ac:dyDescent="0.3">
      <c r="A206" t="s">
        <v>303</v>
      </c>
      <c r="B206" s="1">
        <v>45929</v>
      </c>
      <c r="C206" t="s">
        <v>304</v>
      </c>
      <c r="D206" t="s">
        <v>60</v>
      </c>
      <c r="E206">
        <v>2</v>
      </c>
      <c r="F206" s="2">
        <v>0.1</v>
      </c>
      <c r="G206" s="2" t="str">
        <f>_xlfn.XLOOKUP(D206,Products!$A$2:$A$11,Products!$B$2:$B$11)</f>
        <v>Water Bottle</v>
      </c>
      <c r="H206" s="2" t="str">
        <f>_xlfn.XLOOKUP(D206,Products!$A$2:$A$11,Products!$C$2:$C$11)</f>
        <v>Lifestyle</v>
      </c>
      <c r="I206" s="3">
        <f>_xlfn.XLOOKUP(D206,Products!$A$2:$A$11,Products!$D$2:$D$11)</f>
        <v>18</v>
      </c>
      <c r="J206" s="3" t="str">
        <f>_xlfn.XLOOKUP(C206,Customers!$A$2:$A$101,Customers!$B$2:$B$101)</f>
        <v>Customer 065</v>
      </c>
      <c r="K206" s="3" t="str">
        <f>_xlfn.XLOOKUP(C206,Customers!$A$2:$A$101,Customers!$C$2:$C$101)</f>
        <v>Bristol</v>
      </c>
      <c r="L206" s="3" t="str">
        <f>_xlfn.XLOOKUP(C206,Customers!$A$2:$A$101,Customers!$D$2:$D$101)</f>
        <v>Corporate</v>
      </c>
      <c r="M206" s="3">
        <f t="shared" si="7"/>
        <v>32.4</v>
      </c>
      <c r="N206" s="3">
        <f>E206*_xlfn.XLOOKUP(D206,Products!$A$2:$A$11,Products!$E$2:$E$11)</f>
        <v>14</v>
      </c>
      <c r="O206" s="3">
        <f t="shared" si="6"/>
        <v>18.399999999999999</v>
      </c>
    </row>
    <row r="207" spans="1:15" x14ac:dyDescent="0.3">
      <c r="A207" t="s">
        <v>305</v>
      </c>
      <c r="B207" s="1">
        <v>45904</v>
      </c>
      <c r="C207" t="s">
        <v>306</v>
      </c>
      <c r="D207" t="s">
        <v>19</v>
      </c>
      <c r="E207">
        <v>1</v>
      </c>
      <c r="F207" s="2">
        <v>0.15</v>
      </c>
      <c r="G207" s="2" t="str">
        <f>_xlfn.XLOOKUP(D207,Products!$A$2:$A$11,Products!$B$2:$B$11)</f>
        <v>Backpack</v>
      </c>
      <c r="H207" s="2" t="str">
        <f>_xlfn.XLOOKUP(D207,Products!$A$2:$A$11,Products!$C$2:$C$11)</f>
        <v>Lifestyle</v>
      </c>
      <c r="I207" s="3">
        <f>_xlfn.XLOOKUP(D207,Products!$A$2:$A$11,Products!$D$2:$D$11)</f>
        <v>55</v>
      </c>
      <c r="J207" s="3" t="str">
        <f>_xlfn.XLOOKUP(C207,Customers!$A$2:$A$101,Customers!$B$2:$B$101)</f>
        <v>Customer 038</v>
      </c>
      <c r="K207" s="3" t="str">
        <f>_xlfn.XLOOKUP(C207,Customers!$A$2:$A$101,Customers!$C$2:$C$101)</f>
        <v>London</v>
      </c>
      <c r="L207" s="3" t="str">
        <f>_xlfn.XLOOKUP(C207,Customers!$A$2:$A$101,Customers!$D$2:$D$101)</f>
        <v>Small Business</v>
      </c>
      <c r="M207" s="3">
        <f t="shared" si="7"/>
        <v>46.75</v>
      </c>
      <c r="N207" s="3">
        <f>E207*_xlfn.XLOOKUP(D207,Products!$A$2:$A$11,Products!$E$2:$E$11)</f>
        <v>27</v>
      </c>
      <c r="O207" s="3">
        <f t="shared" si="6"/>
        <v>19.75</v>
      </c>
    </row>
    <row r="208" spans="1:15" x14ac:dyDescent="0.3">
      <c r="A208" t="s">
        <v>307</v>
      </c>
      <c r="B208" s="1">
        <v>45696</v>
      </c>
      <c r="C208" t="s">
        <v>135</v>
      </c>
      <c r="D208" t="s">
        <v>22</v>
      </c>
      <c r="E208">
        <v>4</v>
      </c>
      <c r="F208" s="2">
        <v>0.1</v>
      </c>
      <c r="G208" s="2" t="str">
        <f>_xlfn.XLOOKUP(D208,Products!$A$2:$A$11,Products!$B$2:$B$11)</f>
        <v>Desk Lamp</v>
      </c>
      <c r="H208" s="2" t="str">
        <f>_xlfn.XLOOKUP(D208,Products!$A$2:$A$11,Products!$C$2:$C$11)</f>
        <v>Office</v>
      </c>
      <c r="I208" s="3">
        <f>_xlfn.XLOOKUP(D208,Products!$A$2:$A$11,Products!$D$2:$D$11)</f>
        <v>30</v>
      </c>
      <c r="J208" s="3" t="str">
        <f>_xlfn.XLOOKUP(C208,Customers!$A$2:$A$101,Customers!$B$2:$B$101)</f>
        <v>Customer 019</v>
      </c>
      <c r="K208" s="3" t="str">
        <f>_xlfn.XLOOKUP(C208,Customers!$A$2:$A$101,Customers!$C$2:$C$101)</f>
        <v>Manchester</v>
      </c>
      <c r="L208" s="3" t="str">
        <f>_xlfn.XLOOKUP(C208,Customers!$A$2:$A$101,Customers!$D$2:$D$101)</f>
        <v>Corporate</v>
      </c>
      <c r="M208" s="3">
        <f t="shared" si="7"/>
        <v>108</v>
      </c>
      <c r="N208" s="3">
        <f>E208*_xlfn.XLOOKUP(D208,Products!$A$2:$A$11,Products!$E$2:$E$11)</f>
        <v>60</v>
      </c>
      <c r="O208" s="3">
        <f t="shared" si="6"/>
        <v>48</v>
      </c>
    </row>
    <row r="209" spans="1:15" x14ac:dyDescent="0.3">
      <c r="A209" t="s">
        <v>308</v>
      </c>
      <c r="B209" s="1">
        <v>45704</v>
      </c>
      <c r="C209" t="s">
        <v>309</v>
      </c>
      <c r="D209" t="s">
        <v>27</v>
      </c>
      <c r="E209">
        <v>3</v>
      </c>
      <c r="F209" s="2">
        <v>0</v>
      </c>
      <c r="G209" s="2" t="str">
        <f>_xlfn.XLOOKUP(D209,Products!$A$2:$A$11,Products!$B$2:$B$11)</f>
        <v>Laptop Stand</v>
      </c>
      <c r="H209" s="2" t="str">
        <f>_xlfn.XLOOKUP(D209,Products!$A$2:$A$11,Products!$C$2:$C$11)</f>
        <v>Office</v>
      </c>
      <c r="I209" s="3">
        <f>_xlfn.XLOOKUP(D209,Products!$A$2:$A$11,Products!$D$2:$D$11)</f>
        <v>35</v>
      </c>
      <c r="J209" s="3" t="str">
        <f>_xlfn.XLOOKUP(C209,Customers!$A$2:$A$101,Customers!$B$2:$B$101)</f>
        <v>Customer 051</v>
      </c>
      <c r="K209" s="3" t="str">
        <f>_xlfn.XLOOKUP(C209,Customers!$A$2:$A$101,Customers!$C$2:$C$101)</f>
        <v>Sheffield</v>
      </c>
      <c r="L209" s="3" t="str">
        <f>_xlfn.XLOOKUP(C209,Customers!$A$2:$A$101,Customers!$D$2:$D$101)</f>
        <v>Corporate</v>
      </c>
      <c r="M209" s="3">
        <f t="shared" si="7"/>
        <v>105</v>
      </c>
      <c r="N209" s="3">
        <f>E209*_xlfn.XLOOKUP(D209,Products!$A$2:$A$11,Products!$E$2:$E$11)</f>
        <v>60</v>
      </c>
      <c r="O209" s="3">
        <f t="shared" si="6"/>
        <v>45</v>
      </c>
    </row>
    <row r="210" spans="1:15" x14ac:dyDescent="0.3">
      <c r="A210" t="s">
        <v>310</v>
      </c>
      <c r="B210" s="1">
        <v>45890</v>
      </c>
      <c r="C210" t="s">
        <v>186</v>
      </c>
      <c r="D210" t="s">
        <v>60</v>
      </c>
      <c r="E210">
        <v>5</v>
      </c>
      <c r="F210" s="2">
        <v>0.15</v>
      </c>
      <c r="G210" s="2" t="str">
        <f>_xlfn.XLOOKUP(D210,Products!$A$2:$A$11,Products!$B$2:$B$11)</f>
        <v>Water Bottle</v>
      </c>
      <c r="H210" s="2" t="str">
        <f>_xlfn.XLOOKUP(D210,Products!$A$2:$A$11,Products!$C$2:$C$11)</f>
        <v>Lifestyle</v>
      </c>
      <c r="I210" s="3">
        <f>_xlfn.XLOOKUP(D210,Products!$A$2:$A$11,Products!$D$2:$D$11)</f>
        <v>18</v>
      </c>
      <c r="J210" s="3" t="str">
        <f>_xlfn.XLOOKUP(C210,Customers!$A$2:$A$101,Customers!$B$2:$B$101)</f>
        <v>Customer 048</v>
      </c>
      <c r="K210" s="3" t="str">
        <f>_xlfn.XLOOKUP(C210,Customers!$A$2:$A$101,Customers!$C$2:$C$101)</f>
        <v>Sheffield</v>
      </c>
      <c r="L210" s="3" t="str">
        <f>_xlfn.XLOOKUP(C210,Customers!$A$2:$A$101,Customers!$D$2:$D$101)</f>
        <v>Consumer</v>
      </c>
      <c r="M210" s="3">
        <f t="shared" si="7"/>
        <v>76.5</v>
      </c>
      <c r="N210" s="3">
        <f>E210*_xlfn.XLOOKUP(D210,Products!$A$2:$A$11,Products!$E$2:$E$11)</f>
        <v>35</v>
      </c>
      <c r="O210" s="3">
        <f t="shared" si="6"/>
        <v>41.5</v>
      </c>
    </row>
    <row r="211" spans="1:15" x14ac:dyDescent="0.3">
      <c r="A211" t="s">
        <v>311</v>
      </c>
      <c r="B211" s="1">
        <v>45984</v>
      </c>
      <c r="C211" t="s">
        <v>186</v>
      </c>
      <c r="D211" t="s">
        <v>30</v>
      </c>
      <c r="E211">
        <v>2</v>
      </c>
      <c r="F211" s="2">
        <v>0.15</v>
      </c>
      <c r="G211" s="2" t="str">
        <f>_xlfn.XLOOKUP(D211,Products!$A$2:$A$11,Products!$B$2:$B$11)</f>
        <v>Wireless Mouse</v>
      </c>
      <c r="H211" s="2" t="str">
        <f>_xlfn.XLOOKUP(D211,Products!$A$2:$A$11,Products!$C$2:$C$11)</f>
        <v>Electronics</v>
      </c>
      <c r="I211" s="3">
        <f>_xlfn.XLOOKUP(D211,Products!$A$2:$A$11,Products!$D$2:$D$11)</f>
        <v>25</v>
      </c>
      <c r="J211" s="3" t="str">
        <f>_xlfn.XLOOKUP(C211,Customers!$A$2:$A$101,Customers!$B$2:$B$101)</f>
        <v>Customer 048</v>
      </c>
      <c r="K211" s="3" t="str">
        <f>_xlfn.XLOOKUP(C211,Customers!$A$2:$A$101,Customers!$C$2:$C$101)</f>
        <v>Sheffield</v>
      </c>
      <c r="L211" s="3" t="str">
        <f>_xlfn.XLOOKUP(C211,Customers!$A$2:$A$101,Customers!$D$2:$D$101)</f>
        <v>Consumer</v>
      </c>
      <c r="M211" s="3">
        <f t="shared" si="7"/>
        <v>42.5</v>
      </c>
      <c r="N211" s="3">
        <f>E211*_xlfn.XLOOKUP(D211,Products!$A$2:$A$11,Products!$E$2:$E$11)</f>
        <v>24</v>
      </c>
      <c r="O211" s="3">
        <f t="shared" si="6"/>
        <v>18.5</v>
      </c>
    </row>
    <row r="212" spans="1:15" x14ac:dyDescent="0.3">
      <c r="A212" t="s">
        <v>312</v>
      </c>
      <c r="B212" s="1">
        <v>45670</v>
      </c>
      <c r="C212" t="s">
        <v>175</v>
      </c>
      <c r="D212" t="s">
        <v>11</v>
      </c>
      <c r="E212">
        <v>3</v>
      </c>
      <c r="F212" s="2">
        <v>0.05</v>
      </c>
      <c r="G212" s="2" t="str">
        <f>_xlfn.XLOOKUP(D212,Products!$A$2:$A$11,Products!$B$2:$B$11)</f>
        <v>Office Chair</v>
      </c>
      <c r="H212" s="2" t="str">
        <f>_xlfn.XLOOKUP(D212,Products!$A$2:$A$11,Products!$C$2:$C$11)</f>
        <v>Office</v>
      </c>
      <c r="I212" s="3">
        <f>_xlfn.XLOOKUP(D212,Products!$A$2:$A$11,Products!$D$2:$D$11)</f>
        <v>180</v>
      </c>
      <c r="J212" s="3" t="str">
        <f>_xlfn.XLOOKUP(C212,Customers!$A$2:$A$101,Customers!$B$2:$B$101)</f>
        <v>Customer 080</v>
      </c>
      <c r="K212" s="3" t="str">
        <f>_xlfn.XLOOKUP(C212,Customers!$A$2:$A$101,Customers!$C$2:$C$101)</f>
        <v>London</v>
      </c>
      <c r="L212" s="3" t="str">
        <f>_xlfn.XLOOKUP(C212,Customers!$A$2:$A$101,Customers!$D$2:$D$101)</f>
        <v>Corporate</v>
      </c>
      <c r="M212" s="3">
        <f t="shared" si="7"/>
        <v>513</v>
      </c>
      <c r="N212" s="3">
        <f>E212*_xlfn.XLOOKUP(D212,Products!$A$2:$A$11,Products!$E$2:$E$11)</f>
        <v>315</v>
      </c>
      <c r="O212" s="3">
        <f t="shared" si="6"/>
        <v>198</v>
      </c>
    </row>
    <row r="213" spans="1:15" x14ac:dyDescent="0.3">
      <c r="A213" t="s">
        <v>313</v>
      </c>
      <c r="B213" s="1">
        <v>45989</v>
      </c>
      <c r="C213" t="s">
        <v>10</v>
      </c>
      <c r="D213" t="s">
        <v>33</v>
      </c>
      <c r="E213">
        <v>3</v>
      </c>
      <c r="F213" s="2">
        <v>0.15</v>
      </c>
      <c r="G213" s="2" t="str">
        <f>_xlfn.XLOOKUP(D213,Products!$A$2:$A$11,Products!$B$2:$B$11)</f>
        <v>Notebook Pack</v>
      </c>
      <c r="H213" s="2" t="str">
        <f>_xlfn.XLOOKUP(D213,Products!$A$2:$A$11,Products!$C$2:$C$11)</f>
        <v>Stationery</v>
      </c>
      <c r="I213" s="3">
        <f>_xlfn.XLOOKUP(D213,Products!$A$2:$A$11,Products!$D$2:$D$11)</f>
        <v>12</v>
      </c>
      <c r="J213" s="3" t="str">
        <f>_xlfn.XLOOKUP(C213,Customers!$A$2:$A$101,Customers!$B$2:$B$101)</f>
        <v>Customer 009</v>
      </c>
      <c r="K213" s="3" t="str">
        <f>_xlfn.XLOOKUP(C213,Customers!$A$2:$A$101,Customers!$C$2:$C$101)</f>
        <v>London</v>
      </c>
      <c r="L213" s="3" t="str">
        <f>_xlfn.XLOOKUP(C213,Customers!$A$2:$A$101,Customers!$D$2:$D$101)</f>
        <v>Consumer</v>
      </c>
      <c r="M213" s="3">
        <f t="shared" si="7"/>
        <v>30.599999999999998</v>
      </c>
      <c r="N213" s="3">
        <f>E213*_xlfn.XLOOKUP(D213,Products!$A$2:$A$11,Products!$E$2:$E$11)</f>
        <v>15</v>
      </c>
      <c r="O213" s="3">
        <f t="shared" si="6"/>
        <v>15.599999999999998</v>
      </c>
    </row>
    <row r="214" spans="1:15" x14ac:dyDescent="0.3">
      <c r="A214" t="s">
        <v>314</v>
      </c>
      <c r="B214" s="1">
        <v>45717</v>
      </c>
      <c r="C214" t="s">
        <v>315</v>
      </c>
      <c r="D214" t="s">
        <v>27</v>
      </c>
      <c r="E214">
        <v>1</v>
      </c>
      <c r="F214" s="2">
        <v>0.1</v>
      </c>
      <c r="G214" s="2" t="str">
        <f>_xlfn.XLOOKUP(D214,Products!$A$2:$A$11,Products!$B$2:$B$11)</f>
        <v>Laptop Stand</v>
      </c>
      <c r="H214" s="2" t="str">
        <f>_xlfn.XLOOKUP(D214,Products!$A$2:$A$11,Products!$C$2:$C$11)</f>
        <v>Office</v>
      </c>
      <c r="I214" s="3">
        <f>_xlfn.XLOOKUP(D214,Products!$A$2:$A$11,Products!$D$2:$D$11)</f>
        <v>35</v>
      </c>
      <c r="J214" s="3" t="str">
        <f>_xlfn.XLOOKUP(C214,Customers!$A$2:$A$101,Customers!$B$2:$B$101)</f>
        <v>Customer 018</v>
      </c>
      <c r="K214" s="3" t="str">
        <f>_xlfn.XLOOKUP(C214,Customers!$A$2:$A$101,Customers!$C$2:$C$101)</f>
        <v>Birmingham</v>
      </c>
      <c r="L214" s="3" t="str">
        <f>_xlfn.XLOOKUP(C214,Customers!$A$2:$A$101,Customers!$D$2:$D$101)</f>
        <v>Consumer</v>
      </c>
      <c r="M214" s="3">
        <f t="shared" si="7"/>
        <v>31.5</v>
      </c>
      <c r="N214" s="3">
        <f>E214*_xlfn.XLOOKUP(D214,Products!$A$2:$A$11,Products!$E$2:$E$11)</f>
        <v>20</v>
      </c>
      <c r="O214" s="3">
        <f t="shared" si="6"/>
        <v>11.5</v>
      </c>
    </row>
    <row r="215" spans="1:15" x14ac:dyDescent="0.3">
      <c r="A215" t="s">
        <v>316</v>
      </c>
      <c r="B215" s="1">
        <v>45910</v>
      </c>
      <c r="C215" t="s">
        <v>113</v>
      </c>
      <c r="D215" t="s">
        <v>30</v>
      </c>
      <c r="E215">
        <v>2</v>
      </c>
      <c r="F215" s="2">
        <v>0.05</v>
      </c>
      <c r="G215" s="2" t="str">
        <f>_xlfn.XLOOKUP(D215,Products!$A$2:$A$11,Products!$B$2:$B$11)</f>
        <v>Wireless Mouse</v>
      </c>
      <c r="H215" s="2" t="str">
        <f>_xlfn.XLOOKUP(D215,Products!$A$2:$A$11,Products!$C$2:$C$11)</f>
        <v>Electronics</v>
      </c>
      <c r="I215" s="3">
        <f>_xlfn.XLOOKUP(D215,Products!$A$2:$A$11,Products!$D$2:$D$11)</f>
        <v>25</v>
      </c>
      <c r="J215" s="3" t="str">
        <f>_xlfn.XLOOKUP(C215,Customers!$A$2:$A$101,Customers!$B$2:$B$101)</f>
        <v>Customer 015</v>
      </c>
      <c r="K215" s="3" t="str">
        <f>_xlfn.XLOOKUP(C215,Customers!$A$2:$A$101,Customers!$C$2:$C$101)</f>
        <v>Sheffield</v>
      </c>
      <c r="L215" s="3" t="str">
        <f>_xlfn.XLOOKUP(C215,Customers!$A$2:$A$101,Customers!$D$2:$D$101)</f>
        <v>Corporate</v>
      </c>
      <c r="M215" s="3">
        <f t="shared" si="7"/>
        <v>47.5</v>
      </c>
      <c r="N215" s="3">
        <f>E215*_xlfn.XLOOKUP(D215,Products!$A$2:$A$11,Products!$E$2:$E$11)</f>
        <v>24</v>
      </c>
      <c r="O215" s="3">
        <f t="shared" si="6"/>
        <v>23.5</v>
      </c>
    </row>
    <row r="216" spans="1:15" x14ac:dyDescent="0.3">
      <c r="A216" t="s">
        <v>317</v>
      </c>
      <c r="B216" s="1">
        <v>45856</v>
      </c>
      <c r="C216" t="s">
        <v>318</v>
      </c>
      <c r="D216" t="s">
        <v>19</v>
      </c>
      <c r="E216">
        <v>5</v>
      </c>
      <c r="F216" s="2">
        <v>0.15</v>
      </c>
      <c r="G216" s="2" t="str">
        <f>_xlfn.XLOOKUP(D216,Products!$A$2:$A$11,Products!$B$2:$B$11)</f>
        <v>Backpack</v>
      </c>
      <c r="H216" s="2" t="str">
        <f>_xlfn.XLOOKUP(D216,Products!$A$2:$A$11,Products!$C$2:$C$11)</f>
        <v>Lifestyle</v>
      </c>
      <c r="I216" s="3">
        <f>_xlfn.XLOOKUP(D216,Products!$A$2:$A$11,Products!$D$2:$D$11)</f>
        <v>55</v>
      </c>
      <c r="J216" s="3" t="str">
        <f>_xlfn.XLOOKUP(C216,Customers!$A$2:$A$101,Customers!$B$2:$B$101)</f>
        <v>Customer 059</v>
      </c>
      <c r="K216" s="3" t="str">
        <f>_xlfn.XLOOKUP(C216,Customers!$A$2:$A$101,Customers!$C$2:$C$101)</f>
        <v>Birmingham</v>
      </c>
      <c r="L216" s="3" t="str">
        <f>_xlfn.XLOOKUP(C216,Customers!$A$2:$A$101,Customers!$D$2:$D$101)</f>
        <v>Consumer</v>
      </c>
      <c r="M216" s="3">
        <f t="shared" si="7"/>
        <v>233.75</v>
      </c>
      <c r="N216" s="3">
        <f>E216*_xlfn.XLOOKUP(D216,Products!$A$2:$A$11,Products!$E$2:$E$11)</f>
        <v>135</v>
      </c>
      <c r="O216" s="3">
        <f t="shared" si="6"/>
        <v>98.75</v>
      </c>
    </row>
    <row r="217" spans="1:15" x14ac:dyDescent="0.3">
      <c r="A217" t="s">
        <v>319</v>
      </c>
      <c r="B217" s="1">
        <v>45958</v>
      </c>
      <c r="C217" t="s">
        <v>86</v>
      </c>
      <c r="D217" t="s">
        <v>46</v>
      </c>
      <c r="E217">
        <v>4</v>
      </c>
      <c r="F217" s="2">
        <v>0</v>
      </c>
      <c r="G217" s="2" t="str">
        <f>_xlfn.XLOOKUP(D217,Products!$A$2:$A$11,Products!$B$2:$B$11)</f>
        <v>Keyboard</v>
      </c>
      <c r="H217" s="2" t="str">
        <f>_xlfn.XLOOKUP(D217,Products!$A$2:$A$11,Products!$C$2:$C$11)</f>
        <v>Electronics</v>
      </c>
      <c r="I217" s="3">
        <f>_xlfn.XLOOKUP(D217,Products!$A$2:$A$11,Products!$D$2:$D$11)</f>
        <v>45</v>
      </c>
      <c r="J217" s="3" t="str">
        <f>_xlfn.XLOOKUP(C217,Customers!$A$2:$A$101,Customers!$B$2:$B$101)</f>
        <v>Customer 096</v>
      </c>
      <c r="K217" s="3" t="str">
        <f>_xlfn.XLOOKUP(C217,Customers!$A$2:$A$101,Customers!$C$2:$C$101)</f>
        <v>Bristol</v>
      </c>
      <c r="L217" s="3" t="str">
        <f>_xlfn.XLOOKUP(C217,Customers!$A$2:$A$101,Customers!$D$2:$D$101)</f>
        <v>Consumer</v>
      </c>
      <c r="M217" s="3">
        <f t="shared" si="7"/>
        <v>180</v>
      </c>
      <c r="N217" s="3">
        <f>E217*_xlfn.XLOOKUP(D217,Products!$A$2:$A$11,Products!$E$2:$E$11)</f>
        <v>88</v>
      </c>
      <c r="O217" s="3">
        <f t="shared" si="6"/>
        <v>92</v>
      </c>
    </row>
    <row r="218" spans="1:15" x14ac:dyDescent="0.3">
      <c r="A218" t="s">
        <v>320</v>
      </c>
      <c r="B218" s="1">
        <v>45908</v>
      </c>
      <c r="C218" t="s">
        <v>137</v>
      </c>
      <c r="D218" t="s">
        <v>16</v>
      </c>
      <c r="E218">
        <v>3</v>
      </c>
      <c r="F218" s="2">
        <v>0</v>
      </c>
      <c r="G218" s="2" t="str">
        <f>_xlfn.XLOOKUP(D218,Products!$A$2:$A$11,Products!$B$2:$B$11)</f>
        <v>Headphones</v>
      </c>
      <c r="H218" s="2" t="str">
        <f>_xlfn.XLOOKUP(D218,Products!$A$2:$A$11,Products!$C$2:$C$11)</f>
        <v>Electronics</v>
      </c>
      <c r="I218" s="3">
        <f>_xlfn.XLOOKUP(D218,Products!$A$2:$A$11,Products!$D$2:$D$11)</f>
        <v>75</v>
      </c>
      <c r="J218" s="3" t="str">
        <f>_xlfn.XLOOKUP(C218,Customers!$A$2:$A$101,Customers!$B$2:$B$101)</f>
        <v>Customer 079</v>
      </c>
      <c r="K218" s="3" t="str">
        <f>_xlfn.XLOOKUP(C218,Customers!$A$2:$A$101,Customers!$C$2:$C$101)</f>
        <v>Birmingham</v>
      </c>
      <c r="L218" s="3" t="str">
        <f>_xlfn.XLOOKUP(C218,Customers!$A$2:$A$101,Customers!$D$2:$D$101)</f>
        <v>Corporate</v>
      </c>
      <c r="M218" s="3">
        <f t="shared" si="7"/>
        <v>225</v>
      </c>
      <c r="N218" s="3">
        <f>E218*_xlfn.XLOOKUP(D218,Products!$A$2:$A$11,Products!$E$2:$E$11)</f>
        <v>120</v>
      </c>
      <c r="O218" s="3">
        <f t="shared" si="6"/>
        <v>105</v>
      </c>
    </row>
    <row r="219" spans="1:15" x14ac:dyDescent="0.3">
      <c r="A219" t="s">
        <v>321</v>
      </c>
      <c r="B219" s="1">
        <v>46011</v>
      </c>
      <c r="C219" t="s">
        <v>186</v>
      </c>
      <c r="D219" t="s">
        <v>22</v>
      </c>
      <c r="E219">
        <v>4</v>
      </c>
      <c r="F219" s="2">
        <v>0.15</v>
      </c>
      <c r="G219" s="2" t="str">
        <f>_xlfn.XLOOKUP(D219,Products!$A$2:$A$11,Products!$B$2:$B$11)</f>
        <v>Desk Lamp</v>
      </c>
      <c r="H219" s="2" t="str">
        <f>_xlfn.XLOOKUP(D219,Products!$A$2:$A$11,Products!$C$2:$C$11)</f>
        <v>Office</v>
      </c>
      <c r="I219" s="3">
        <f>_xlfn.XLOOKUP(D219,Products!$A$2:$A$11,Products!$D$2:$D$11)</f>
        <v>30</v>
      </c>
      <c r="J219" s="3" t="str">
        <f>_xlfn.XLOOKUP(C219,Customers!$A$2:$A$101,Customers!$B$2:$B$101)</f>
        <v>Customer 048</v>
      </c>
      <c r="K219" s="3" t="str">
        <f>_xlfn.XLOOKUP(C219,Customers!$A$2:$A$101,Customers!$C$2:$C$101)</f>
        <v>Sheffield</v>
      </c>
      <c r="L219" s="3" t="str">
        <f>_xlfn.XLOOKUP(C219,Customers!$A$2:$A$101,Customers!$D$2:$D$101)</f>
        <v>Consumer</v>
      </c>
      <c r="M219" s="3">
        <f t="shared" si="7"/>
        <v>102</v>
      </c>
      <c r="N219" s="3">
        <f>E219*_xlfn.XLOOKUP(D219,Products!$A$2:$A$11,Products!$E$2:$E$11)</f>
        <v>60</v>
      </c>
      <c r="O219" s="3">
        <f t="shared" si="6"/>
        <v>42</v>
      </c>
    </row>
    <row r="220" spans="1:15" x14ac:dyDescent="0.3">
      <c r="A220" t="s">
        <v>322</v>
      </c>
      <c r="B220" s="1">
        <v>45778</v>
      </c>
      <c r="C220" t="s">
        <v>323</v>
      </c>
      <c r="D220" t="s">
        <v>30</v>
      </c>
      <c r="E220">
        <v>3</v>
      </c>
      <c r="F220" s="2">
        <v>0.1</v>
      </c>
      <c r="G220" s="2" t="str">
        <f>_xlfn.XLOOKUP(D220,Products!$A$2:$A$11,Products!$B$2:$B$11)</f>
        <v>Wireless Mouse</v>
      </c>
      <c r="H220" s="2" t="str">
        <f>_xlfn.XLOOKUP(D220,Products!$A$2:$A$11,Products!$C$2:$C$11)</f>
        <v>Electronics</v>
      </c>
      <c r="I220" s="3">
        <f>_xlfn.XLOOKUP(D220,Products!$A$2:$A$11,Products!$D$2:$D$11)</f>
        <v>25</v>
      </c>
      <c r="J220" s="3" t="str">
        <f>_xlfn.XLOOKUP(C220,Customers!$A$2:$A$101,Customers!$B$2:$B$101)</f>
        <v>Customer 047</v>
      </c>
      <c r="K220" s="3" t="str">
        <f>_xlfn.XLOOKUP(C220,Customers!$A$2:$A$101,Customers!$C$2:$C$101)</f>
        <v>Manchester</v>
      </c>
      <c r="L220" s="3" t="str">
        <f>_xlfn.XLOOKUP(C220,Customers!$A$2:$A$101,Customers!$D$2:$D$101)</f>
        <v>Corporate</v>
      </c>
      <c r="M220" s="3">
        <f t="shared" si="7"/>
        <v>67.5</v>
      </c>
      <c r="N220" s="3">
        <f>E220*_xlfn.XLOOKUP(D220,Products!$A$2:$A$11,Products!$E$2:$E$11)</f>
        <v>36</v>
      </c>
      <c r="O220" s="3">
        <f t="shared" si="6"/>
        <v>31.5</v>
      </c>
    </row>
    <row r="221" spans="1:15" x14ac:dyDescent="0.3">
      <c r="A221" t="s">
        <v>324</v>
      </c>
      <c r="B221" s="1">
        <v>45689</v>
      </c>
      <c r="C221" t="s">
        <v>309</v>
      </c>
      <c r="D221" t="s">
        <v>60</v>
      </c>
      <c r="E221">
        <v>2</v>
      </c>
      <c r="F221" s="2">
        <v>0</v>
      </c>
      <c r="G221" s="2" t="str">
        <f>_xlfn.XLOOKUP(D221,Products!$A$2:$A$11,Products!$B$2:$B$11)</f>
        <v>Water Bottle</v>
      </c>
      <c r="H221" s="2" t="str">
        <f>_xlfn.XLOOKUP(D221,Products!$A$2:$A$11,Products!$C$2:$C$11)</f>
        <v>Lifestyle</v>
      </c>
      <c r="I221" s="3">
        <f>_xlfn.XLOOKUP(D221,Products!$A$2:$A$11,Products!$D$2:$D$11)</f>
        <v>18</v>
      </c>
      <c r="J221" s="3" t="str">
        <f>_xlfn.XLOOKUP(C221,Customers!$A$2:$A$101,Customers!$B$2:$B$101)</f>
        <v>Customer 051</v>
      </c>
      <c r="K221" s="3" t="str">
        <f>_xlfn.XLOOKUP(C221,Customers!$A$2:$A$101,Customers!$C$2:$C$101)</f>
        <v>Sheffield</v>
      </c>
      <c r="L221" s="3" t="str">
        <f>_xlfn.XLOOKUP(C221,Customers!$A$2:$A$101,Customers!$D$2:$D$101)</f>
        <v>Corporate</v>
      </c>
      <c r="M221" s="3">
        <f t="shared" si="7"/>
        <v>36</v>
      </c>
      <c r="N221" s="3">
        <f>E221*_xlfn.XLOOKUP(D221,Products!$A$2:$A$11,Products!$E$2:$E$11)</f>
        <v>14</v>
      </c>
      <c r="O221" s="3">
        <f t="shared" si="6"/>
        <v>22</v>
      </c>
    </row>
    <row r="222" spans="1:15" x14ac:dyDescent="0.3">
      <c r="A222" t="s">
        <v>325</v>
      </c>
      <c r="B222" s="1">
        <v>45890</v>
      </c>
      <c r="C222" t="s">
        <v>194</v>
      </c>
      <c r="D222" t="s">
        <v>22</v>
      </c>
      <c r="E222">
        <v>5</v>
      </c>
      <c r="F222" s="2">
        <v>0</v>
      </c>
      <c r="G222" s="2" t="str">
        <f>_xlfn.XLOOKUP(D222,Products!$A$2:$A$11,Products!$B$2:$B$11)</f>
        <v>Desk Lamp</v>
      </c>
      <c r="H222" s="2" t="str">
        <f>_xlfn.XLOOKUP(D222,Products!$A$2:$A$11,Products!$C$2:$C$11)</f>
        <v>Office</v>
      </c>
      <c r="I222" s="3">
        <f>_xlfn.XLOOKUP(D222,Products!$A$2:$A$11,Products!$D$2:$D$11)</f>
        <v>30</v>
      </c>
      <c r="J222" s="3" t="str">
        <f>_xlfn.XLOOKUP(C222,Customers!$A$2:$A$101,Customers!$B$2:$B$101)</f>
        <v>Customer 012</v>
      </c>
      <c r="K222" s="3" t="str">
        <f>_xlfn.XLOOKUP(C222,Customers!$A$2:$A$101,Customers!$C$2:$C$101)</f>
        <v>Bristol</v>
      </c>
      <c r="L222" s="3" t="str">
        <f>_xlfn.XLOOKUP(C222,Customers!$A$2:$A$101,Customers!$D$2:$D$101)</f>
        <v>Consumer</v>
      </c>
      <c r="M222" s="3">
        <f t="shared" si="7"/>
        <v>150</v>
      </c>
      <c r="N222" s="3">
        <f>E222*_xlfn.XLOOKUP(D222,Products!$A$2:$A$11,Products!$E$2:$E$11)</f>
        <v>75</v>
      </c>
      <c r="O222" s="3">
        <f t="shared" si="6"/>
        <v>75</v>
      </c>
    </row>
    <row r="223" spans="1:15" x14ac:dyDescent="0.3">
      <c r="A223" t="s">
        <v>326</v>
      </c>
      <c r="B223" s="1">
        <v>45683</v>
      </c>
      <c r="C223" t="s">
        <v>29</v>
      </c>
      <c r="D223" t="s">
        <v>22</v>
      </c>
      <c r="E223">
        <v>2</v>
      </c>
      <c r="F223" s="2">
        <v>0.05</v>
      </c>
      <c r="G223" s="2" t="str">
        <f>_xlfn.XLOOKUP(D223,Products!$A$2:$A$11,Products!$B$2:$B$11)</f>
        <v>Desk Lamp</v>
      </c>
      <c r="H223" s="2" t="str">
        <f>_xlfn.XLOOKUP(D223,Products!$A$2:$A$11,Products!$C$2:$C$11)</f>
        <v>Office</v>
      </c>
      <c r="I223" s="3">
        <f>_xlfn.XLOOKUP(D223,Products!$A$2:$A$11,Products!$D$2:$D$11)</f>
        <v>30</v>
      </c>
      <c r="J223" s="3" t="str">
        <f>_xlfn.XLOOKUP(C223,Customers!$A$2:$A$101,Customers!$B$2:$B$101)</f>
        <v>Customer 043</v>
      </c>
      <c r="K223" s="3" t="str">
        <f>_xlfn.XLOOKUP(C223,Customers!$A$2:$A$101,Customers!$C$2:$C$101)</f>
        <v>Sheffield</v>
      </c>
      <c r="L223" s="3" t="str">
        <f>_xlfn.XLOOKUP(C223,Customers!$A$2:$A$101,Customers!$D$2:$D$101)</f>
        <v>Small Business</v>
      </c>
      <c r="M223" s="3">
        <f t="shared" si="7"/>
        <v>57</v>
      </c>
      <c r="N223" s="3">
        <f>E223*_xlfn.XLOOKUP(D223,Products!$A$2:$A$11,Products!$E$2:$E$11)</f>
        <v>30</v>
      </c>
      <c r="O223" s="3">
        <f t="shared" si="6"/>
        <v>27</v>
      </c>
    </row>
    <row r="224" spans="1:15" x14ac:dyDescent="0.3">
      <c r="A224" t="s">
        <v>327</v>
      </c>
      <c r="B224" s="1">
        <v>45693</v>
      </c>
      <c r="C224" t="s">
        <v>224</v>
      </c>
      <c r="D224" t="s">
        <v>11</v>
      </c>
      <c r="E224">
        <v>2</v>
      </c>
      <c r="F224" s="2">
        <v>0.05</v>
      </c>
      <c r="G224" s="2" t="str">
        <f>_xlfn.XLOOKUP(D224,Products!$A$2:$A$11,Products!$B$2:$B$11)</f>
        <v>Office Chair</v>
      </c>
      <c r="H224" s="2" t="str">
        <f>_xlfn.XLOOKUP(D224,Products!$A$2:$A$11,Products!$C$2:$C$11)</f>
        <v>Office</v>
      </c>
      <c r="I224" s="3">
        <f>_xlfn.XLOOKUP(D224,Products!$A$2:$A$11,Products!$D$2:$D$11)</f>
        <v>180</v>
      </c>
      <c r="J224" s="3" t="str">
        <f>_xlfn.XLOOKUP(C224,Customers!$A$2:$A$101,Customers!$B$2:$B$101)</f>
        <v>Customer 098</v>
      </c>
      <c r="K224" s="3" t="str">
        <f>_xlfn.XLOOKUP(C224,Customers!$A$2:$A$101,Customers!$C$2:$C$101)</f>
        <v>Leeds</v>
      </c>
      <c r="L224" s="3" t="str">
        <f>_xlfn.XLOOKUP(C224,Customers!$A$2:$A$101,Customers!$D$2:$D$101)</f>
        <v>Consumer</v>
      </c>
      <c r="M224" s="3">
        <f t="shared" si="7"/>
        <v>342</v>
      </c>
      <c r="N224" s="3">
        <f>E224*_xlfn.XLOOKUP(D224,Products!$A$2:$A$11,Products!$E$2:$E$11)</f>
        <v>210</v>
      </c>
      <c r="O224" s="3">
        <f t="shared" si="6"/>
        <v>132</v>
      </c>
    </row>
    <row r="225" spans="1:15" x14ac:dyDescent="0.3">
      <c r="A225" t="s">
        <v>328</v>
      </c>
      <c r="B225" s="1">
        <v>45777</v>
      </c>
      <c r="C225" t="s">
        <v>29</v>
      </c>
      <c r="D225" t="s">
        <v>46</v>
      </c>
      <c r="E225">
        <v>5</v>
      </c>
      <c r="F225" s="2">
        <v>0</v>
      </c>
      <c r="G225" s="2" t="str">
        <f>_xlfn.XLOOKUP(D225,Products!$A$2:$A$11,Products!$B$2:$B$11)</f>
        <v>Keyboard</v>
      </c>
      <c r="H225" s="2" t="str">
        <f>_xlfn.XLOOKUP(D225,Products!$A$2:$A$11,Products!$C$2:$C$11)</f>
        <v>Electronics</v>
      </c>
      <c r="I225" s="3">
        <f>_xlfn.XLOOKUP(D225,Products!$A$2:$A$11,Products!$D$2:$D$11)</f>
        <v>45</v>
      </c>
      <c r="J225" s="3" t="str">
        <f>_xlfn.XLOOKUP(C225,Customers!$A$2:$A$101,Customers!$B$2:$B$101)</f>
        <v>Customer 043</v>
      </c>
      <c r="K225" s="3" t="str">
        <f>_xlfn.XLOOKUP(C225,Customers!$A$2:$A$101,Customers!$C$2:$C$101)</f>
        <v>Sheffield</v>
      </c>
      <c r="L225" s="3" t="str">
        <f>_xlfn.XLOOKUP(C225,Customers!$A$2:$A$101,Customers!$D$2:$D$101)</f>
        <v>Small Business</v>
      </c>
      <c r="M225" s="3">
        <f t="shared" si="7"/>
        <v>225</v>
      </c>
      <c r="N225" s="3">
        <f>E225*_xlfn.XLOOKUP(D225,Products!$A$2:$A$11,Products!$E$2:$E$11)</f>
        <v>110</v>
      </c>
      <c r="O225" s="3">
        <f t="shared" si="6"/>
        <v>115</v>
      </c>
    </row>
    <row r="226" spans="1:15" x14ac:dyDescent="0.3">
      <c r="A226" t="s">
        <v>329</v>
      </c>
      <c r="B226" s="1">
        <v>45799</v>
      </c>
      <c r="C226" t="s">
        <v>135</v>
      </c>
      <c r="D226" t="s">
        <v>46</v>
      </c>
      <c r="E226">
        <v>5</v>
      </c>
      <c r="F226" s="2">
        <v>0.1</v>
      </c>
      <c r="G226" s="2" t="str">
        <f>_xlfn.XLOOKUP(D226,Products!$A$2:$A$11,Products!$B$2:$B$11)</f>
        <v>Keyboard</v>
      </c>
      <c r="H226" s="2" t="str">
        <f>_xlfn.XLOOKUP(D226,Products!$A$2:$A$11,Products!$C$2:$C$11)</f>
        <v>Electronics</v>
      </c>
      <c r="I226" s="3">
        <f>_xlfn.XLOOKUP(D226,Products!$A$2:$A$11,Products!$D$2:$D$11)</f>
        <v>45</v>
      </c>
      <c r="J226" s="3" t="str">
        <f>_xlfn.XLOOKUP(C226,Customers!$A$2:$A$101,Customers!$B$2:$B$101)</f>
        <v>Customer 019</v>
      </c>
      <c r="K226" s="3" t="str">
        <f>_xlfn.XLOOKUP(C226,Customers!$A$2:$A$101,Customers!$C$2:$C$101)</f>
        <v>Manchester</v>
      </c>
      <c r="L226" s="3" t="str">
        <f>_xlfn.XLOOKUP(C226,Customers!$A$2:$A$101,Customers!$D$2:$D$101)</f>
        <v>Corporate</v>
      </c>
      <c r="M226" s="3">
        <f t="shared" si="7"/>
        <v>202.5</v>
      </c>
      <c r="N226" s="3">
        <f>E226*_xlfn.XLOOKUP(D226,Products!$A$2:$A$11,Products!$E$2:$E$11)</f>
        <v>110</v>
      </c>
      <c r="O226" s="3">
        <f t="shared" si="6"/>
        <v>92.5</v>
      </c>
    </row>
    <row r="227" spans="1:15" x14ac:dyDescent="0.3">
      <c r="A227" t="s">
        <v>330</v>
      </c>
      <c r="B227" s="1">
        <v>45747</v>
      </c>
      <c r="C227" t="s">
        <v>113</v>
      </c>
      <c r="D227" t="s">
        <v>27</v>
      </c>
      <c r="E227">
        <v>2</v>
      </c>
      <c r="F227" s="2">
        <v>0</v>
      </c>
      <c r="G227" s="2" t="str">
        <f>_xlfn.XLOOKUP(D227,Products!$A$2:$A$11,Products!$B$2:$B$11)</f>
        <v>Laptop Stand</v>
      </c>
      <c r="H227" s="2" t="str">
        <f>_xlfn.XLOOKUP(D227,Products!$A$2:$A$11,Products!$C$2:$C$11)</f>
        <v>Office</v>
      </c>
      <c r="I227" s="3">
        <f>_xlfn.XLOOKUP(D227,Products!$A$2:$A$11,Products!$D$2:$D$11)</f>
        <v>35</v>
      </c>
      <c r="J227" s="3" t="str">
        <f>_xlfn.XLOOKUP(C227,Customers!$A$2:$A$101,Customers!$B$2:$B$101)</f>
        <v>Customer 015</v>
      </c>
      <c r="K227" s="3" t="str">
        <f>_xlfn.XLOOKUP(C227,Customers!$A$2:$A$101,Customers!$C$2:$C$101)</f>
        <v>Sheffield</v>
      </c>
      <c r="L227" s="3" t="str">
        <f>_xlfn.XLOOKUP(C227,Customers!$A$2:$A$101,Customers!$D$2:$D$101)</f>
        <v>Corporate</v>
      </c>
      <c r="M227" s="3">
        <f t="shared" si="7"/>
        <v>70</v>
      </c>
      <c r="N227" s="3">
        <f>E227*_xlfn.XLOOKUP(D227,Products!$A$2:$A$11,Products!$E$2:$E$11)</f>
        <v>40</v>
      </c>
      <c r="O227" s="3">
        <f t="shared" si="6"/>
        <v>30</v>
      </c>
    </row>
    <row r="228" spans="1:15" x14ac:dyDescent="0.3">
      <c r="A228" t="s">
        <v>331</v>
      </c>
      <c r="B228" s="1">
        <v>45841</v>
      </c>
      <c r="C228" t="s">
        <v>7</v>
      </c>
      <c r="D228" t="s">
        <v>8</v>
      </c>
      <c r="E228">
        <v>3</v>
      </c>
      <c r="F228" s="2">
        <v>0</v>
      </c>
      <c r="G228" s="2" t="str">
        <f>_xlfn.XLOOKUP(D228,Products!$A$2:$A$11,Products!$B$2:$B$11)</f>
        <v>USB-C Hub</v>
      </c>
      <c r="H228" s="2" t="str">
        <f>_xlfn.XLOOKUP(D228,Products!$A$2:$A$11,Products!$C$2:$C$11)</f>
        <v>Electronics</v>
      </c>
      <c r="I228" s="3">
        <f>_xlfn.XLOOKUP(D228,Products!$A$2:$A$11,Products!$D$2:$D$11)</f>
        <v>40</v>
      </c>
      <c r="J228" s="3" t="str">
        <f>_xlfn.XLOOKUP(C228,Customers!$A$2:$A$101,Customers!$B$2:$B$101)</f>
        <v>Customer 031</v>
      </c>
      <c r="K228" s="3" t="str">
        <f>_xlfn.XLOOKUP(C228,Customers!$A$2:$A$101,Customers!$C$2:$C$101)</f>
        <v>Birmingham</v>
      </c>
      <c r="L228" s="3" t="str">
        <f>_xlfn.XLOOKUP(C228,Customers!$A$2:$A$101,Customers!$D$2:$D$101)</f>
        <v>Corporate</v>
      </c>
      <c r="M228" s="3">
        <f t="shared" si="7"/>
        <v>120</v>
      </c>
      <c r="N228" s="3">
        <f>E228*_xlfn.XLOOKUP(D228,Products!$A$2:$A$11,Products!$E$2:$E$11)</f>
        <v>57</v>
      </c>
      <c r="O228" s="3">
        <f t="shared" si="6"/>
        <v>63</v>
      </c>
    </row>
    <row r="229" spans="1:15" x14ac:dyDescent="0.3">
      <c r="A229" t="s">
        <v>332</v>
      </c>
      <c r="B229" s="1">
        <v>45747</v>
      </c>
      <c r="C229" t="s">
        <v>166</v>
      </c>
      <c r="D229" t="s">
        <v>27</v>
      </c>
      <c r="E229">
        <v>2</v>
      </c>
      <c r="F229" s="2">
        <v>0.15</v>
      </c>
      <c r="G229" s="2" t="str">
        <f>_xlfn.XLOOKUP(D229,Products!$A$2:$A$11,Products!$B$2:$B$11)</f>
        <v>Laptop Stand</v>
      </c>
      <c r="H229" s="2" t="str">
        <f>_xlfn.XLOOKUP(D229,Products!$A$2:$A$11,Products!$C$2:$C$11)</f>
        <v>Office</v>
      </c>
      <c r="I229" s="3">
        <f>_xlfn.XLOOKUP(D229,Products!$A$2:$A$11,Products!$D$2:$D$11)</f>
        <v>35</v>
      </c>
      <c r="J229" s="3" t="str">
        <f>_xlfn.XLOOKUP(C229,Customers!$A$2:$A$101,Customers!$B$2:$B$101)</f>
        <v>Customer 034</v>
      </c>
      <c r="K229" s="3" t="str">
        <f>_xlfn.XLOOKUP(C229,Customers!$A$2:$A$101,Customers!$C$2:$C$101)</f>
        <v>Sheffield</v>
      </c>
      <c r="L229" s="3" t="str">
        <f>_xlfn.XLOOKUP(C229,Customers!$A$2:$A$101,Customers!$D$2:$D$101)</f>
        <v>Consumer</v>
      </c>
      <c r="M229" s="3">
        <f t="shared" si="7"/>
        <v>59.5</v>
      </c>
      <c r="N229" s="3">
        <f>E229*_xlfn.XLOOKUP(D229,Products!$A$2:$A$11,Products!$E$2:$E$11)</f>
        <v>40</v>
      </c>
      <c r="O229" s="3">
        <f t="shared" si="6"/>
        <v>19.5</v>
      </c>
    </row>
    <row r="230" spans="1:15" x14ac:dyDescent="0.3">
      <c r="A230" t="s">
        <v>333</v>
      </c>
      <c r="B230" s="1">
        <v>45927</v>
      </c>
      <c r="C230" t="s">
        <v>113</v>
      </c>
      <c r="D230" t="s">
        <v>30</v>
      </c>
      <c r="E230">
        <v>4</v>
      </c>
      <c r="F230" s="2">
        <v>0.15</v>
      </c>
      <c r="G230" s="2" t="str">
        <f>_xlfn.XLOOKUP(D230,Products!$A$2:$A$11,Products!$B$2:$B$11)</f>
        <v>Wireless Mouse</v>
      </c>
      <c r="H230" s="2" t="str">
        <f>_xlfn.XLOOKUP(D230,Products!$A$2:$A$11,Products!$C$2:$C$11)</f>
        <v>Electronics</v>
      </c>
      <c r="I230" s="3">
        <f>_xlfn.XLOOKUP(D230,Products!$A$2:$A$11,Products!$D$2:$D$11)</f>
        <v>25</v>
      </c>
      <c r="J230" s="3" t="str">
        <f>_xlfn.XLOOKUP(C230,Customers!$A$2:$A$101,Customers!$B$2:$B$101)</f>
        <v>Customer 015</v>
      </c>
      <c r="K230" s="3" t="str">
        <f>_xlfn.XLOOKUP(C230,Customers!$A$2:$A$101,Customers!$C$2:$C$101)</f>
        <v>Sheffield</v>
      </c>
      <c r="L230" s="3" t="str">
        <f>_xlfn.XLOOKUP(C230,Customers!$A$2:$A$101,Customers!$D$2:$D$101)</f>
        <v>Corporate</v>
      </c>
      <c r="M230" s="3">
        <f t="shared" si="7"/>
        <v>85</v>
      </c>
      <c r="N230" s="3">
        <f>E230*_xlfn.XLOOKUP(D230,Products!$A$2:$A$11,Products!$E$2:$E$11)</f>
        <v>48</v>
      </c>
      <c r="O230" s="3">
        <f t="shared" si="6"/>
        <v>37</v>
      </c>
    </row>
    <row r="231" spans="1:15" x14ac:dyDescent="0.3">
      <c r="A231" t="s">
        <v>334</v>
      </c>
      <c r="B231" s="1">
        <v>45843</v>
      </c>
      <c r="C231" t="s">
        <v>66</v>
      </c>
      <c r="D231" t="s">
        <v>8</v>
      </c>
      <c r="E231">
        <v>1</v>
      </c>
      <c r="F231" s="2">
        <v>0.15</v>
      </c>
      <c r="G231" s="2" t="str">
        <f>_xlfn.XLOOKUP(D231,Products!$A$2:$A$11,Products!$B$2:$B$11)</f>
        <v>USB-C Hub</v>
      </c>
      <c r="H231" s="2" t="str">
        <f>_xlfn.XLOOKUP(D231,Products!$A$2:$A$11,Products!$C$2:$C$11)</f>
        <v>Electronics</v>
      </c>
      <c r="I231" s="3">
        <f>_xlfn.XLOOKUP(D231,Products!$A$2:$A$11,Products!$D$2:$D$11)</f>
        <v>40</v>
      </c>
      <c r="J231" s="3" t="str">
        <f>_xlfn.XLOOKUP(C231,Customers!$A$2:$A$101,Customers!$B$2:$B$101)</f>
        <v>Customer 066</v>
      </c>
      <c r="K231" s="3" t="str">
        <f>_xlfn.XLOOKUP(C231,Customers!$A$2:$A$101,Customers!$C$2:$C$101)</f>
        <v>Birmingham</v>
      </c>
      <c r="L231" s="3" t="str">
        <f>_xlfn.XLOOKUP(C231,Customers!$A$2:$A$101,Customers!$D$2:$D$101)</f>
        <v>Corporate</v>
      </c>
      <c r="M231" s="3">
        <f t="shared" si="7"/>
        <v>34</v>
      </c>
      <c r="N231" s="3">
        <f>E231*_xlfn.XLOOKUP(D231,Products!$A$2:$A$11,Products!$E$2:$E$11)</f>
        <v>19</v>
      </c>
      <c r="O231" s="3">
        <f t="shared" si="6"/>
        <v>15</v>
      </c>
    </row>
    <row r="232" spans="1:15" x14ac:dyDescent="0.3">
      <c r="A232" t="s">
        <v>335</v>
      </c>
      <c r="B232" s="1">
        <v>45915</v>
      </c>
      <c r="C232" t="s">
        <v>106</v>
      </c>
      <c r="D232" t="s">
        <v>8</v>
      </c>
      <c r="E232">
        <v>1</v>
      </c>
      <c r="F232" s="2">
        <v>0.1</v>
      </c>
      <c r="G232" s="2" t="str">
        <f>_xlfn.XLOOKUP(D232,Products!$A$2:$A$11,Products!$B$2:$B$11)</f>
        <v>USB-C Hub</v>
      </c>
      <c r="H232" s="2" t="str">
        <f>_xlfn.XLOOKUP(D232,Products!$A$2:$A$11,Products!$C$2:$C$11)</f>
        <v>Electronics</v>
      </c>
      <c r="I232" s="3">
        <f>_xlfn.XLOOKUP(D232,Products!$A$2:$A$11,Products!$D$2:$D$11)</f>
        <v>40</v>
      </c>
      <c r="J232" s="3" t="str">
        <f>_xlfn.XLOOKUP(C232,Customers!$A$2:$A$101,Customers!$B$2:$B$101)</f>
        <v>Customer 029</v>
      </c>
      <c r="K232" s="3" t="str">
        <f>_xlfn.XLOOKUP(C232,Customers!$A$2:$A$101,Customers!$C$2:$C$101)</f>
        <v>London</v>
      </c>
      <c r="L232" s="3" t="str">
        <f>_xlfn.XLOOKUP(C232,Customers!$A$2:$A$101,Customers!$D$2:$D$101)</f>
        <v>Small Business</v>
      </c>
      <c r="M232" s="3">
        <f t="shared" si="7"/>
        <v>36</v>
      </c>
      <c r="N232" s="3">
        <f>E232*_xlfn.XLOOKUP(D232,Products!$A$2:$A$11,Products!$E$2:$E$11)</f>
        <v>19</v>
      </c>
      <c r="O232" s="3">
        <f t="shared" si="6"/>
        <v>17</v>
      </c>
    </row>
    <row r="233" spans="1:15" x14ac:dyDescent="0.3">
      <c r="A233" t="s">
        <v>336</v>
      </c>
      <c r="B233" s="1">
        <v>45892</v>
      </c>
      <c r="C233" t="s">
        <v>111</v>
      </c>
      <c r="D233" t="s">
        <v>27</v>
      </c>
      <c r="E233">
        <v>1</v>
      </c>
      <c r="F233" s="2">
        <v>0.15</v>
      </c>
      <c r="G233" s="2" t="str">
        <f>_xlfn.XLOOKUP(D233,Products!$A$2:$A$11,Products!$B$2:$B$11)</f>
        <v>Laptop Stand</v>
      </c>
      <c r="H233" s="2" t="str">
        <f>_xlfn.XLOOKUP(D233,Products!$A$2:$A$11,Products!$C$2:$C$11)</f>
        <v>Office</v>
      </c>
      <c r="I233" s="3">
        <f>_xlfn.XLOOKUP(D233,Products!$A$2:$A$11,Products!$D$2:$D$11)</f>
        <v>35</v>
      </c>
      <c r="J233" s="3" t="str">
        <f>_xlfn.XLOOKUP(C233,Customers!$A$2:$A$101,Customers!$B$2:$B$101)</f>
        <v>Customer 083</v>
      </c>
      <c r="K233" s="3" t="str">
        <f>_xlfn.XLOOKUP(C233,Customers!$A$2:$A$101,Customers!$C$2:$C$101)</f>
        <v>Birmingham</v>
      </c>
      <c r="L233" s="3" t="str">
        <f>_xlfn.XLOOKUP(C233,Customers!$A$2:$A$101,Customers!$D$2:$D$101)</f>
        <v>Corporate</v>
      </c>
      <c r="M233" s="3">
        <f t="shared" si="7"/>
        <v>29.75</v>
      </c>
      <c r="N233" s="3">
        <f>E233*_xlfn.XLOOKUP(D233,Products!$A$2:$A$11,Products!$E$2:$E$11)</f>
        <v>20</v>
      </c>
      <c r="O233" s="3">
        <f t="shared" si="6"/>
        <v>9.75</v>
      </c>
    </row>
    <row r="234" spans="1:15" x14ac:dyDescent="0.3">
      <c r="A234" t="s">
        <v>337</v>
      </c>
      <c r="B234" s="1">
        <v>45863</v>
      </c>
      <c r="C234" t="s">
        <v>39</v>
      </c>
      <c r="D234" t="s">
        <v>30</v>
      </c>
      <c r="E234">
        <v>4</v>
      </c>
      <c r="F234" s="2">
        <v>0.15</v>
      </c>
      <c r="G234" s="2" t="str">
        <f>_xlfn.XLOOKUP(D234,Products!$A$2:$A$11,Products!$B$2:$B$11)</f>
        <v>Wireless Mouse</v>
      </c>
      <c r="H234" s="2" t="str">
        <f>_xlfn.XLOOKUP(D234,Products!$A$2:$A$11,Products!$C$2:$C$11)</f>
        <v>Electronics</v>
      </c>
      <c r="I234" s="3">
        <f>_xlfn.XLOOKUP(D234,Products!$A$2:$A$11,Products!$D$2:$D$11)</f>
        <v>25</v>
      </c>
      <c r="J234" s="3" t="str">
        <f>_xlfn.XLOOKUP(C234,Customers!$A$2:$A$101,Customers!$B$2:$B$101)</f>
        <v>Customer 055</v>
      </c>
      <c r="K234" s="3" t="str">
        <f>_xlfn.XLOOKUP(C234,Customers!$A$2:$A$101,Customers!$C$2:$C$101)</f>
        <v>London</v>
      </c>
      <c r="L234" s="3" t="str">
        <f>_xlfn.XLOOKUP(C234,Customers!$A$2:$A$101,Customers!$D$2:$D$101)</f>
        <v>Small Business</v>
      </c>
      <c r="M234" s="3">
        <f t="shared" si="7"/>
        <v>85</v>
      </c>
      <c r="N234" s="3">
        <f>E234*_xlfn.XLOOKUP(D234,Products!$A$2:$A$11,Products!$E$2:$E$11)</f>
        <v>48</v>
      </c>
      <c r="O234" s="3">
        <f t="shared" si="6"/>
        <v>37</v>
      </c>
    </row>
    <row r="235" spans="1:15" x14ac:dyDescent="0.3">
      <c r="A235" t="s">
        <v>338</v>
      </c>
      <c r="B235" s="1">
        <v>45695</v>
      </c>
      <c r="C235" t="s">
        <v>70</v>
      </c>
      <c r="D235" t="s">
        <v>19</v>
      </c>
      <c r="E235">
        <v>5</v>
      </c>
      <c r="F235" s="2">
        <v>0.05</v>
      </c>
      <c r="G235" s="2" t="str">
        <f>_xlfn.XLOOKUP(D235,Products!$A$2:$A$11,Products!$B$2:$B$11)</f>
        <v>Backpack</v>
      </c>
      <c r="H235" s="2" t="str">
        <f>_xlfn.XLOOKUP(D235,Products!$A$2:$A$11,Products!$C$2:$C$11)</f>
        <v>Lifestyle</v>
      </c>
      <c r="I235" s="3">
        <f>_xlfn.XLOOKUP(D235,Products!$A$2:$A$11,Products!$D$2:$D$11)</f>
        <v>55</v>
      </c>
      <c r="J235" s="3" t="str">
        <f>_xlfn.XLOOKUP(C235,Customers!$A$2:$A$101,Customers!$B$2:$B$101)</f>
        <v>Customer 011</v>
      </c>
      <c r="K235" s="3" t="str">
        <f>_xlfn.XLOOKUP(C235,Customers!$A$2:$A$101,Customers!$C$2:$C$101)</f>
        <v>Manchester</v>
      </c>
      <c r="L235" s="3" t="str">
        <f>_xlfn.XLOOKUP(C235,Customers!$A$2:$A$101,Customers!$D$2:$D$101)</f>
        <v>Corporate</v>
      </c>
      <c r="M235" s="3">
        <f t="shared" si="7"/>
        <v>261.25</v>
      </c>
      <c r="N235" s="3">
        <f>E235*_xlfn.XLOOKUP(D235,Products!$A$2:$A$11,Products!$E$2:$E$11)</f>
        <v>135</v>
      </c>
      <c r="O235" s="3">
        <f t="shared" si="6"/>
        <v>126.25</v>
      </c>
    </row>
    <row r="236" spans="1:15" x14ac:dyDescent="0.3">
      <c r="A236" t="s">
        <v>339</v>
      </c>
      <c r="B236" s="1">
        <v>45691</v>
      </c>
      <c r="C236" t="s">
        <v>74</v>
      </c>
      <c r="D236" t="s">
        <v>60</v>
      </c>
      <c r="E236">
        <v>5</v>
      </c>
      <c r="F236" s="2">
        <v>0.1</v>
      </c>
      <c r="G236" s="2" t="str">
        <f>_xlfn.XLOOKUP(D236,Products!$A$2:$A$11,Products!$B$2:$B$11)</f>
        <v>Water Bottle</v>
      </c>
      <c r="H236" s="2" t="str">
        <f>_xlfn.XLOOKUP(D236,Products!$A$2:$A$11,Products!$C$2:$C$11)</f>
        <v>Lifestyle</v>
      </c>
      <c r="I236" s="3">
        <f>_xlfn.XLOOKUP(D236,Products!$A$2:$A$11,Products!$D$2:$D$11)</f>
        <v>18</v>
      </c>
      <c r="J236" s="3" t="str">
        <f>_xlfn.XLOOKUP(C236,Customers!$A$2:$A$101,Customers!$B$2:$B$101)</f>
        <v>Customer 017</v>
      </c>
      <c r="K236" s="3" t="str">
        <f>_xlfn.XLOOKUP(C236,Customers!$A$2:$A$101,Customers!$C$2:$C$101)</f>
        <v>Leeds</v>
      </c>
      <c r="L236" s="3" t="str">
        <f>_xlfn.XLOOKUP(C236,Customers!$A$2:$A$101,Customers!$D$2:$D$101)</f>
        <v>Corporate</v>
      </c>
      <c r="M236" s="3">
        <f t="shared" si="7"/>
        <v>81</v>
      </c>
      <c r="N236" s="3">
        <f>E236*_xlfn.XLOOKUP(D236,Products!$A$2:$A$11,Products!$E$2:$E$11)</f>
        <v>35</v>
      </c>
      <c r="O236" s="3">
        <f t="shared" si="6"/>
        <v>46</v>
      </c>
    </row>
    <row r="237" spans="1:15" x14ac:dyDescent="0.3">
      <c r="A237" t="s">
        <v>340</v>
      </c>
      <c r="B237" s="1">
        <v>45853</v>
      </c>
      <c r="C237" t="s">
        <v>237</v>
      </c>
      <c r="D237" t="s">
        <v>11</v>
      </c>
      <c r="E237">
        <v>3</v>
      </c>
      <c r="F237" s="2">
        <v>0.15</v>
      </c>
      <c r="G237" s="2" t="str">
        <f>_xlfn.XLOOKUP(D237,Products!$A$2:$A$11,Products!$B$2:$B$11)</f>
        <v>Office Chair</v>
      </c>
      <c r="H237" s="2" t="str">
        <f>_xlfn.XLOOKUP(D237,Products!$A$2:$A$11,Products!$C$2:$C$11)</f>
        <v>Office</v>
      </c>
      <c r="I237" s="3">
        <f>_xlfn.XLOOKUP(D237,Products!$A$2:$A$11,Products!$D$2:$D$11)</f>
        <v>180</v>
      </c>
      <c r="J237" s="3" t="str">
        <f>_xlfn.XLOOKUP(C237,Customers!$A$2:$A$101,Customers!$B$2:$B$101)</f>
        <v>Customer 077</v>
      </c>
      <c r="K237" s="3" t="str">
        <f>_xlfn.XLOOKUP(C237,Customers!$A$2:$A$101,Customers!$C$2:$C$101)</f>
        <v>Leeds</v>
      </c>
      <c r="L237" s="3" t="str">
        <f>_xlfn.XLOOKUP(C237,Customers!$A$2:$A$101,Customers!$D$2:$D$101)</f>
        <v>Corporate</v>
      </c>
      <c r="M237" s="3">
        <f t="shared" si="7"/>
        <v>459</v>
      </c>
      <c r="N237" s="3">
        <f>E237*_xlfn.XLOOKUP(D237,Products!$A$2:$A$11,Products!$E$2:$E$11)</f>
        <v>315</v>
      </c>
      <c r="O237" s="3">
        <f t="shared" si="6"/>
        <v>144</v>
      </c>
    </row>
    <row r="238" spans="1:15" x14ac:dyDescent="0.3">
      <c r="A238" t="s">
        <v>341</v>
      </c>
      <c r="B238" s="1">
        <v>45916</v>
      </c>
      <c r="C238" t="s">
        <v>15</v>
      </c>
      <c r="D238" t="s">
        <v>16</v>
      </c>
      <c r="E238">
        <v>1</v>
      </c>
      <c r="F238" s="2">
        <v>0</v>
      </c>
      <c r="G238" s="2" t="str">
        <f>_xlfn.XLOOKUP(D238,Products!$A$2:$A$11,Products!$B$2:$B$11)</f>
        <v>Headphones</v>
      </c>
      <c r="H238" s="2" t="str">
        <f>_xlfn.XLOOKUP(D238,Products!$A$2:$A$11,Products!$C$2:$C$11)</f>
        <v>Electronics</v>
      </c>
      <c r="I238" s="3">
        <f>_xlfn.XLOOKUP(D238,Products!$A$2:$A$11,Products!$D$2:$D$11)</f>
        <v>75</v>
      </c>
      <c r="J238" s="3" t="str">
        <f>_xlfn.XLOOKUP(C238,Customers!$A$2:$A$101,Customers!$B$2:$B$101)</f>
        <v>Customer 078</v>
      </c>
      <c r="K238" s="3" t="str">
        <f>_xlfn.XLOOKUP(C238,Customers!$A$2:$A$101,Customers!$C$2:$C$101)</f>
        <v>Leeds</v>
      </c>
      <c r="L238" s="3" t="str">
        <f>_xlfn.XLOOKUP(C238,Customers!$A$2:$A$101,Customers!$D$2:$D$101)</f>
        <v>Corporate</v>
      </c>
      <c r="M238" s="3">
        <f t="shared" si="7"/>
        <v>75</v>
      </c>
      <c r="N238" s="3">
        <f>E238*_xlfn.XLOOKUP(D238,Products!$A$2:$A$11,Products!$E$2:$E$11)</f>
        <v>40</v>
      </c>
      <c r="O238" s="3">
        <f t="shared" si="6"/>
        <v>35</v>
      </c>
    </row>
    <row r="239" spans="1:15" x14ac:dyDescent="0.3">
      <c r="A239" t="s">
        <v>342</v>
      </c>
      <c r="B239" s="1">
        <v>45993</v>
      </c>
      <c r="C239" t="s">
        <v>41</v>
      </c>
      <c r="D239" t="s">
        <v>11</v>
      </c>
      <c r="E239">
        <v>2</v>
      </c>
      <c r="F239" s="2">
        <v>0.15</v>
      </c>
      <c r="G239" s="2" t="str">
        <f>_xlfn.XLOOKUP(D239,Products!$A$2:$A$11,Products!$B$2:$B$11)</f>
        <v>Office Chair</v>
      </c>
      <c r="H239" s="2" t="str">
        <f>_xlfn.XLOOKUP(D239,Products!$A$2:$A$11,Products!$C$2:$C$11)</f>
        <v>Office</v>
      </c>
      <c r="I239" s="3">
        <f>_xlfn.XLOOKUP(D239,Products!$A$2:$A$11,Products!$D$2:$D$11)</f>
        <v>180</v>
      </c>
      <c r="J239" s="3" t="str">
        <f>_xlfn.XLOOKUP(C239,Customers!$A$2:$A$101,Customers!$B$2:$B$101)</f>
        <v>Customer 084</v>
      </c>
      <c r="K239" s="3" t="str">
        <f>_xlfn.XLOOKUP(C239,Customers!$A$2:$A$101,Customers!$C$2:$C$101)</f>
        <v>Birmingham</v>
      </c>
      <c r="L239" s="3" t="str">
        <f>_xlfn.XLOOKUP(C239,Customers!$A$2:$A$101,Customers!$D$2:$D$101)</f>
        <v>Consumer</v>
      </c>
      <c r="M239" s="3">
        <f t="shared" si="7"/>
        <v>306</v>
      </c>
      <c r="N239" s="3">
        <f>E239*_xlfn.XLOOKUP(D239,Products!$A$2:$A$11,Products!$E$2:$E$11)</f>
        <v>210</v>
      </c>
      <c r="O239" s="3">
        <f t="shared" si="6"/>
        <v>96</v>
      </c>
    </row>
    <row r="240" spans="1:15" x14ac:dyDescent="0.3">
      <c r="A240" t="s">
        <v>343</v>
      </c>
      <c r="B240" s="1">
        <v>45889</v>
      </c>
      <c r="C240" t="s">
        <v>108</v>
      </c>
      <c r="D240" t="s">
        <v>16</v>
      </c>
      <c r="E240">
        <v>3</v>
      </c>
      <c r="F240" s="2">
        <v>0.15</v>
      </c>
      <c r="G240" s="2" t="str">
        <f>_xlfn.XLOOKUP(D240,Products!$A$2:$A$11,Products!$B$2:$B$11)</f>
        <v>Headphones</v>
      </c>
      <c r="H240" s="2" t="str">
        <f>_xlfn.XLOOKUP(D240,Products!$A$2:$A$11,Products!$C$2:$C$11)</f>
        <v>Electronics</v>
      </c>
      <c r="I240" s="3">
        <f>_xlfn.XLOOKUP(D240,Products!$A$2:$A$11,Products!$D$2:$D$11)</f>
        <v>75</v>
      </c>
      <c r="J240" s="3" t="str">
        <f>_xlfn.XLOOKUP(C240,Customers!$A$2:$A$101,Customers!$B$2:$B$101)</f>
        <v>Customer 030</v>
      </c>
      <c r="K240" s="3" t="str">
        <f>_xlfn.XLOOKUP(C240,Customers!$A$2:$A$101,Customers!$C$2:$C$101)</f>
        <v>London</v>
      </c>
      <c r="L240" s="3" t="str">
        <f>_xlfn.XLOOKUP(C240,Customers!$A$2:$A$101,Customers!$D$2:$D$101)</f>
        <v>Corporate</v>
      </c>
      <c r="M240" s="3">
        <f t="shared" si="7"/>
        <v>191.25</v>
      </c>
      <c r="N240" s="3">
        <f>E240*_xlfn.XLOOKUP(D240,Products!$A$2:$A$11,Products!$E$2:$E$11)</f>
        <v>120</v>
      </c>
      <c r="O240" s="3">
        <f t="shared" si="6"/>
        <v>71.25</v>
      </c>
    </row>
    <row r="241" spans="1:15" x14ac:dyDescent="0.3">
      <c r="A241" t="s">
        <v>344</v>
      </c>
      <c r="B241" s="1">
        <v>45862</v>
      </c>
      <c r="C241" t="s">
        <v>188</v>
      </c>
      <c r="D241" t="s">
        <v>30</v>
      </c>
      <c r="E241">
        <v>3</v>
      </c>
      <c r="F241" s="2">
        <v>0.15</v>
      </c>
      <c r="G241" s="2" t="str">
        <f>_xlfn.XLOOKUP(D241,Products!$A$2:$A$11,Products!$B$2:$B$11)</f>
        <v>Wireless Mouse</v>
      </c>
      <c r="H241" s="2" t="str">
        <f>_xlfn.XLOOKUP(D241,Products!$A$2:$A$11,Products!$C$2:$C$11)</f>
        <v>Electronics</v>
      </c>
      <c r="I241" s="3">
        <f>_xlfn.XLOOKUP(D241,Products!$A$2:$A$11,Products!$D$2:$D$11)</f>
        <v>25</v>
      </c>
      <c r="J241" s="3" t="str">
        <f>_xlfn.XLOOKUP(C241,Customers!$A$2:$A$101,Customers!$B$2:$B$101)</f>
        <v>Customer 054</v>
      </c>
      <c r="K241" s="3" t="str">
        <f>_xlfn.XLOOKUP(C241,Customers!$A$2:$A$101,Customers!$C$2:$C$101)</f>
        <v>London</v>
      </c>
      <c r="L241" s="3" t="str">
        <f>_xlfn.XLOOKUP(C241,Customers!$A$2:$A$101,Customers!$D$2:$D$101)</f>
        <v>Consumer</v>
      </c>
      <c r="M241" s="3">
        <f t="shared" si="7"/>
        <v>63.75</v>
      </c>
      <c r="N241" s="3">
        <f>E241*_xlfn.XLOOKUP(D241,Products!$A$2:$A$11,Products!$E$2:$E$11)</f>
        <v>36</v>
      </c>
      <c r="O241" s="3">
        <f t="shared" si="6"/>
        <v>27.75</v>
      </c>
    </row>
    <row r="242" spans="1:15" x14ac:dyDescent="0.3">
      <c r="A242" t="s">
        <v>345</v>
      </c>
      <c r="B242" s="1">
        <v>45818</v>
      </c>
      <c r="C242" t="s">
        <v>32</v>
      </c>
      <c r="D242" t="s">
        <v>60</v>
      </c>
      <c r="E242">
        <v>3</v>
      </c>
      <c r="F242" s="2">
        <v>0.05</v>
      </c>
      <c r="G242" s="2" t="str">
        <f>_xlfn.XLOOKUP(D242,Products!$A$2:$A$11,Products!$B$2:$B$11)</f>
        <v>Water Bottle</v>
      </c>
      <c r="H242" s="2" t="str">
        <f>_xlfn.XLOOKUP(D242,Products!$A$2:$A$11,Products!$C$2:$C$11)</f>
        <v>Lifestyle</v>
      </c>
      <c r="I242" s="3">
        <f>_xlfn.XLOOKUP(D242,Products!$A$2:$A$11,Products!$D$2:$D$11)</f>
        <v>18</v>
      </c>
      <c r="J242" s="3" t="str">
        <f>_xlfn.XLOOKUP(C242,Customers!$A$2:$A$101,Customers!$B$2:$B$101)</f>
        <v>Customer 086</v>
      </c>
      <c r="K242" s="3" t="str">
        <f>_xlfn.XLOOKUP(C242,Customers!$A$2:$A$101,Customers!$C$2:$C$101)</f>
        <v>Manchester</v>
      </c>
      <c r="L242" s="3" t="str">
        <f>_xlfn.XLOOKUP(C242,Customers!$A$2:$A$101,Customers!$D$2:$D$101)</f>
        <v>Small Business</v>
      </c>
      <c r="M242" s="3">
        <f t="shared" si="7"/>
        <v>51.3</v>
      </c>
      <c r="N242" s="3">
        <f>E242*_xlfn.XLOOKUP(D242,Products!$A$2:$A$11,Products!$E$2:$E$11)</f>
        <v>21</v>
      </c>
      <c r="O242" s="3">
        <f t="shared" si="6"/>
        <v>30.299999999999997</v>
      </c>
    </row>
    <row r="243" spans="1:15" x14ac:dyDescent="0.3">
      <c r="A243" t="s">
        <v>346</v>
      </c>
      <c r="B243" s="1">
        <v>46009</v>
      </c>
      <c r="C243" t="s">
        <v>13</v>
      </c>
      <c r="D243" t="s">
        <v>30</v>
      </c>
      <c r="E243">
        <v>1</v>
      </c>
      <c r="F243" s="2">
        <v>0</v>
      </c>
      <c r="G243" s="2" t="str">
        <f>_xlfn.XLOOKUP(D243,Products!$A$2:$A$11,Products!$B$2:$B$11)</f>
        <v>Wireless Mouse</v>
      </c>
      <c r="H243" s="2" t="str">
        <f>_xlfn.XLOOKUP(D243,Products!$A$2:$A$11,Products!$C$2:$C$11)</f>
        <v>Electronics</v>
      </c>
      <c r="I243" s="3">
        <f>_xlfn.XLOOKUP(D243,Products!$A$2:$A$11,Products!$D$2:$D$11)</f>
        <v>25</v>
      </c>
      <c r="J243" s="3" t="str">
        <f>_xlfn.XLOOKUP(C243,Customers!$A$2:$A$101,Customers!$B$2:$B$101)</f>
        <v>Customer 061</v>
      </c>
      <c r="K243" s="3" t="str">
        <f>_xlfn.XLOOKUP(C243,Customers!$A$2:$A$101,Customers!$C$2:$C$101)</f>
        <v>Leeds</v>
      </c>
      <c r="L243" s="3" t="str">
        <f>_xlfn.XLOOKUP(C243,Customers!$A$2:$A$101,Customers!$D$2:$D$101)</f>
        <v>Corporate</v>
      </c>
      <c r="M243" s="3">
        <f t="shared" si="7"/>
        <v>25</v>
      </c>
      <c r="N243" s="3">
        <f>E243*_xlfn.XLOOKUP(D243,Products!$A$2:$A$11,Products!$E$2:$E$11)</f>
        <v>12</v>
      </c>
      <c r="O243" s="3">
        <f t="shared" si="6"/>
        <v>13</v>
      </c>
    </row>
    <row r="244" spans="1:15" x14ac:dyDescent="0.3">
      <c r="A244" t="s">
        <v>347</v>
      </c>
      <c r="B244" s="1">
        <v>45705</v>
      </c>
      <c r="C244" t="s">
        <v>116</v>
      </c>
      <c r="D244" t="s">
        <v>30</v>
      </c>
      <c r="E244">
        <v>3</v>
      </c>
      <c r="F244" s="2">
        <v>0.05</v>
      </c>
      <c r="G244" s="2" t="str">
        <f>_xlfn.XLOOKUP(D244,Products!$A$2:$A$11,Products!$B$2:$B$11)</f>
        <v>Wireless Mouse</v>
      </c>
      <c r="H244" s="2" t="str">
        <f>_xlfn.XLOOKUP(D244,Products!$A$2:$A$11,Products!$C$2:$C$11)</f>
        <v>Electronics</v>
      </c>
      <c r="I244" s="3">
        <f>_xlfn.XLOOKUP(D244,Products!$A$2:$A$11,Products!$D$2:$D$11)</f>
        <v>25</v>
      </c>
      <c r="J244" s="3" t="str">
        <f>_xlfn.XLOOKUP(C244,Customers!$A$2:$A$101,Customers!$B$2:$B$101)</f>
        <v>Customer 056</v>
      </c>
      <c r="K244" s="3" t="str">
        <f>_xlfn.XLOOKUP(C244,Customers!$A$2:$A$101,Customers!$C$2:$C$101)</f>
        <v>Leeds</v>
      </c>
      <c r="L244" s="3" t="str">
        <f>_xlfn.XLOOKUP(C244,Customers!$A$2:$A$101,Customers!$D$2:$D$101)</f>
        <v>Small Business</v>
      </c>
      <c r="M244" s="3">
        <f t="shared" si="7"/>
        <v>71.25</v>
      </c>
      <c r="N244" s="3">
        <f>E244*_xlfn.XLOOKUP(D244,Products!$A$2:$A$11,Products!$E$2:$E$11)</f>
        <v>36</v>
      </c>
      <c r="O244" s="3">
        <f t="shared" si="6"/>
        <v>35.25</v>
      </c>
    </row>
    <row r="245" spans="1:15" x14ac:dyDescent="0.3">
      <c r="A245" t="s">
        <v>348</v>
      </c>
      <c r="B245" s="1">
        <v>45942</v>
      </c>
      <c r="C245" t="s">
        <v>154</v>
      </c>
      <c r="D245" t="s">
        <v>8</v>
      </c>
      <c r="E245">
        <v>5</v>
      </c>
      <c r="F245" s="2">
        <v>0.1</v>
      </c>
      <c r="G245" s="2" t="str">
        <f>_xlfn.XLOOKUP(D245,Products!$A$2:$A$11,Products!$B$2:$B$11)</f>
        <v>USB-C Hub</v>
      </c>
      <c r="H245" s="2" t="str">
        <f>_xlfn.XLOOKUP(D245,Products!$A$2:$A$11,Products!$C$2:$C$11)</f>
        <v>Electronics</v>
      </c>
      <c r="I245" s="3">
        <f>_xlfn.XLOOKUP(D245,Products!$A$2:$A$11,Products!$D$2:$D$11)</f>
        <v>40</v>
      </c>
      <c r="J245" s="3" t="str">
        <f>_xlfn.XLOOKUP(C245,Customers!$A$2:$A$101,Customers!$B$2:$B$101)</f>
        <v>Customer 008</v>
      </c>
      <c r="K245" s="3" t="str">
        <f>_xlfn.XLOOKUP(C245,Customers!$A$2:$A$101,Customers!$C$2:$C$101)</f>
        <v>Bristol</v>
      </c>
      <c r="L245" s="3" t="str">
        <f>_xlfn.XLOOKUP(C245,Customers!$A$2:$A$101,Customers!$D$2:$D$101)</f>
        <v>Small Business</v>
      </c>
      <c r="M245" s="3">
        <f t="shared" si="7"/>
        <v>180</v>
      </c>
      <c r="N245" s="3">
        <f>E245*_xlfn.XLOOKUP(D245,Products!$A$2:$A$11,Products!$E$2:$E$11)</f>
        <v>95</v>
      </c>
      <c r="O245" s="3">
        <f t="shared" si="6"/>
        <v>85</v>
      </c>
    </row>
    <row r="246" spans="1:15" x14ac:dyDescent="0.3">
      <c r="A246" t="s">
        <v>349</v>
      </c>
      <c r="B246" s="1">
        <v>46001</v>
      </c>
      <c r="C246" t="s">
        <v>121</v>
      </c>
      <c r="D246" t="s">
        <v>16</v>
      </c>
      <c r="E246">
        <v>3</v>
      </c>
      <c r="F246" s="2">
        <v>0.15</v>
      </c>
      <c r="G246" s="2" t="str">
        <f>_xlfn.XLOOKUP(D246,Products!$A$2:$A$11,Products!$B$2:$B$11)</f>
        <v>Headphones</v>
      </c>
      <c r="H246" s="2" t="str">
        <f>_xlfn.XLOOKUP(D246,Products!$A$2:$A$11,Products!$C$2:$C$11)</f>
        <v>Electronics</v>
      </c>
      <c r="I246" s="3">
        <f>_xlfn.XLOOKUP(D246,Products!$A$2:$A$11,Products!$D$2:$D$11)</f>
        <v>75</v>
      </c>
      <c r="J246" s="3" t="str">
        <f>_xlfn.XLOOKUP(C246,Customers!$A$2:$A$101,Customers!$B$2:$B$101)</f>
        <v>Customer 016</v>
      </c>
      <c r="K246" s="3" t="str">
        <f>_xlfn.XLOOKUP(C246,Customers!$A$2:$A$101,Customers!$C$2:$C$101)</f>
        <v>Leeds</v>
      </c>
      <c r="L246" s="3" t="str">
        <f>_xlfn.XLOOKUP(C246,Customers!$A$2:$A$101,Customers!$D$2:$D$101)</f>
        <v>Consumer</v>
      </c>
      <c r="M246" s="3">
        <f t="shared" si="7"/>
        <v>191.25</v>
      </c>
      <c r="N246" s="3">
        <f>E246*_xlfn.XLOOKUP(D246,Products!$A$2:$A$11,Products!$E$2:$E$11)</f>
        <v>120</v>
      </c>
      <c r="O246" s="3">
        <f t="shared" si="6"/>
        <v>71.25</v>
      </c>
    </row>
    <row r="247" spans="1:15" x14ac:dyDescent="0.3">
      <c r="A247" t="s">
        <v>350</v>
      </c>
      <c r="B247" s="1">
        <v>45684</v>
      </c>
      <c r="C247" t="s">
        <v>58</v>
      </c>
      <c r="D247" t="s">
        <v>8</v>
      </c>
      <c r="E247">
        <v>3</v>
      </c>
      <c r="F247" s="2">
        <v>0.1</v>
      </c>
      <c r="G247" s="2" t="str">
        <f>_xlfn.XLOOKUP(D247,Products!$A$2:$A$11,Products!$B$2:$B$11)</f>
        <v>USB-C Hub</v>
      </c>
      <c r="H247" s="2" t="str">
        <f>_xlfn.XLOOKUP(D247,Products!$A$2:$A$11,Products!$C$2:$C$11)</f>
        <v>Electronics</v>
      </c>
      <c r="I247" s="3">
        <f>_xlfn.XLOOKUP(D247,Products!$A$2:$A$11,Products!$D$2:$D$11)</f>
        <v>40</v>
      </c>
      <c r="J247" s="3" t="str">
        <f>_xlfn.XLOOKUP(C247,Customers!$A$2:$A$101,Customers!$B$2:$B$101)</f>
        <v>Customer 037</v>
      </c>
      <c r="K247" s="3" t="str">
        <f>_xlfn.XLOOKUP(C247,Customers!$A$2:$A$101,Customers!$C$2:$C$101)</f>
        <v>London</v>
      </c>
      <c r="L247" s="3" t="str">
        <f>_xlfn.XLOOKUP(C247,Customers!$A$2:$A$101,Customers!$D$2:$D$101)</f>
        <v>Consumer</v>
      </c>
      <c r="M247" s="3">
        <f t="shared" si="7"/>
        <v>108</v>
      </c>
      <c r="N247" s="3">
        <f>E247*_xlfn.XLOOKUP(D247,Products!$A$2:$A$11,Products!$E$2:$E$11)</f>
        <v>57</v>
      </c>
      <c r="O247" s="3">
        <f t="shared" si="6"/>
        <v>51</v>
      </c>
    </row>
    <row r="248" spans="1:15" x14ac:dyDescent="0.3">
      <c r="A248" t="s">
        <v>351</v>
      </c>
      <c r="B248" s="1">
        <v>45711</v>
      </c>
      <c r="C248" t="s">
        <v>35</v>
      </c>
      <c r="D248" t="s">
        <v>11</v>
      </c>
      <c r="E248">
        <v>2</v>
      </c>
      <c r="F248" s="2">
        <v>0.05</v>
      </c>
      <c r="G248" s="2" t="str">
        <f>_xlfn.XLOOKUP(D248,Products!$A$2:$A$11,Products!$B$2:$B$11)</f>
        <v>Office Chair</v>
      </c>
      <c r="H248" s="2" t="str">
        <f>_xlfn.XLOOKUP(D248,Products!$A$2:$A$11,Products!$C$2:$C$11)</f>
        <v>Office</v>
      </c>
      <c r="I248" s="3">
        <f>_xlfn.XLOOKUP(D248,Products!$A$2:$A$11,Products!$D$2:$D$11)</f>
        <v>180</v>
      </c>
      <c r="J248" s="3" t="str">
        <f>_xlfn.XLOOKUP(C248,Customers!$A$2:$A$101,Customers!$B$2:$B$101)</f>
        <v>Customer 074</v>
      </c>
      <c r="K248" s="3" t="str">
        <f>_xlfn.XLOOKUP(C248,Customers!$A$2:$A$101,Customers!$C$2:$C$101)</f>
        <v>Manchester</v>
      </c>
      <c r="L248" s="3" t="str">
        <f>_xlfn.XLOOKUP(C248,Customers!$A$2:$A$101,Customers!$D$2:$D$101)</f>
        <v>Corporate</v>
      </c>
      <c r="M248" s="3">
        <f t="shared" si="7"/>
        <v>342</v>
      </c>
      <c r="N248" s="3">
        <f>E248*_xlfn.XLOOKUP(D248,Products!$A$2:$A$11,Products!$E$2:$E$11)</f>
        <v>210</v>
      </c>
      <c r="O248" s="3">
        <f t="shared" si="6"/>
        <v>132</v>
      </c>
    </row>
    <row r="249" spans="1:15" x14ac:dyDescent="0.3">
      <c r="A249" t="s">
        <v>352</v>
      </c>
      <c r="B249" s="1">
        <v>45994</v>
      </c>
      <c r="C249" t="s">
        <v>54</v>
      </c>
      <c r="D249" t="s">
        <v>22</v>
      </c>
      <c r="E249">
        <v>1</v>
      </c>
      <c r="F249" s="2">
        <v>0.1</v>
      </c>
      <c r="G249" s="2" t="str">
        <f>_xlfn.XLOOKUP(D249,Products!$A$2:$A$11,Products!$B$2:$B$11)</f>
        <v>Desk Lamp</v>
      </c>
      <c r="H249" s="2" t="str">
        <f>_xlfn.XLOOKUP(D249,Products!$A$2:$A$11,Products!$C$2:$C$11)</f>
        <v>Office</v>
      </c>
      <c r="I249" s="3">
        <f>_xlfn.XLOOKUP(D249,Products!$A$2:$A$11,Products!$D$2:$D$11)</f>
        <v>30</v>
      </c>
      <c r="J249" s="3" t="str">
        <f>_xlfn.XLOOKUP(C249,Customers!$A$2:$A$101,Customers!$B$2:$B$101)</f>
        <v>Customer 062</v>
      </c>
      <c r="K249" s="3" t="str">
        <f>_xlfn.XLOOKUP(C249,Customers!$A$2:$A$101,Customers!$C$2:$C$101)</f>
        <v>Leeds</v>
      </c>
      <c r="L249" s="3" t="str">
        <f>_xlfn.XLOOKUP(C249,Customers!$A$2:$A$101,Customers!$D$2:$D$101)</f>
        <v>Consumer</v>
      </c>
      <c r="M249" s="3">
        <f t="shared" si="7"/>
        <v>27</v>
      </c>
      <c r="N249" s="3">
        <f>E249*_xlfn.XLOOKUP(D249,Products!$A$2:$A$11,Products!$E$2:$E$11)</f>
        <v>15</v>
      </c>
      <c r="O249" s="3">
        <f t="shared" si="6"/>
        <v>12</v>
      </c>
    </row>
    <row r="250" spans="1:15" x14ac:dyDescent="0.3">
      <c r="A250" t="s">
        <v>353</v>
      </c>
      <c r="B250" s="1">
        <v>45942</v>
      </c>
      <c r="C250" t="s">
        <v>186</v>
      </c>
      <c r="D250" t="s">
        <v>30</v>
      </c>
      <c r="E250">
        <v>3</v>
      </c>
      <c r="F250" s="2">
        <v>0.05</v>
      </c>
      <c r="G250" s="2" t="str">
        <f>_xlfn.XLOOKUP(D250,Products!$A$2:$A$11,Products!$B$2:$B$11)</f>
        <v>Wireless Mouse</v>
      </c>
      <c r="H250" s="2" t="str">
        <f>_xlfn.XLOOKUP(D250,Products!$A$2:$A$11,Products!$C$2:$C$11)</f>
        <v>Electronics</v>
      </c>
      <c r="I250" s="3">
        <f>_xlfn.XLOOKUP(D250,Products!$A$2:$A$11,Products!$D$2:$D$11)</f>
        <v>25</v>
      </c>
      <c r="J250" s="3" t="str">
        <f>_xlfn.XLOOKUP(C250,Customers!$A$2:$A$101,Customers!$B$2:$B$101)</f>
        <v>Customer 048</v>
      </c>
      <c r="K250" s="3" t="str">
        <f>_xlfn.XLOOKUP(C250,Customers!$A$2:$A$101,Customers!$C$2:$C$101)</f>
        <v>Sheffield</v>
      </c>
      <c r="L250" s="3" t="str">
        <f>_xlfn.XLOOKUP(C250,Customers!$A$2:$A$101,Customers!$D$2:$D$101)</f>
        <v>Consumer</v>
      </c>
      <c r="M250" s="3">
        <f t="shared" si="7"/>
        <v>71.25</v>
      </c>
      <c r="N250" s="3">
        <f>E250*_xlfn.XLOOKUP(D250,Products!$A$2:$A$11,Products!$E$2:$E$11)</f>
        <v>36</v>
      </c>
      <c r="O250" s="3">
        <f t="shared" si="6"/>
        <v>35.25</v>
      </c>
    </row>
    <row r="251" spans="1:15" x14ac:dyDescent="0.3">
      <c r="A251" t="s">
        <v>354</v>
      </c>
      <c r="B251" s="1">
        <v>45877</v>
      </c>
      <c r="C251" t="s">
        <v>142</v>
      </c>
      <c r="D251" t="s">
        <v>8</v>
      </c>
      <c r="E251">
        <v>5</v>
      </c>
      <c r="F251" s="2">
        <v>0</v>
      </c>
      <c r="G251" s="2" t="str">
        <f>_xlfn.XLOOKUP(D251,Products!$A$2:$A$11,Products!$B$2:$B$11)</f>
        <v>USB-C Hub</v>
      </c>
      <c r="H251" s="2" t="str">
        <f>_xlfn.XLOOKUP(D251,Products!$A$2:$A$11,Products!$C$2:$C$11)</f>
        <v>Electronics</v>
      </c>
      <c r="I251" s="3">
        <f>_xlfn.XLOOKUP(D251,Products!$A$2:$A$11,Products!$D$2:$D$11)</f>
        <v>40</v>
      </c>
      <c r="J251" s="3" t="str">
        <f>_xlfn.XLOOKUP(C251,Customers!$A$2:$A$101,Customers!$B$2:$B$101)</f>
        <v>Customer 072</v>
      </c>
      <c r="K251" s="3" t="str">
        <f>_xlfn.XLOOKUP(C251,Customers!$A$2:$A$101,Customers!$C$2:$C$101)</f>
        <v>London</v>
      </c>
      <c r="L251" s="3" t="str">
        <f>_xlfn.XLOOKUP(C251,Customers!$A$2:$A$101,Customers!$D$2:$D$101)</f>
        <v>Consumer</v>
      </c>
      <c r="M251" s="3">
        <f t="shared" si="7"/>
        <v>200</v>
      </c>
      <c r="N251" s="3">
        <f>E251*_xlfn.XLOOKUP(D251,Products!$A$2:$A$11,Products!$E$2:$E$11)</f>
        <v>95</v>
      </c>
      <c r="O251" s="3">
        <f t="shared" si="6"/>
        <v>105</v>
      </c>
    </row>
    <row r="252" spans="1:15" x14ac:dyDescent="0.3">
      <c r="A252" t="s">
        <v>355</v>
      </c>
      <c r="B252" s="1">
        <v>45969</v>
      </c>
      <c r="C252" t="s">
        <v>132</v>
      </c>
      <c r="D252" t="s">
        <v>60</v>
      </c>
      <c r="E252">
        <v>1</v>
      </c>
      <c r="F252" s="2">
        <v>0.05</v>
      </c>
      <c r="G252" s="2" t="str">
        <f>_xlfn.XLOOKUP(D252,Products!$A$2:$A$11,Products!$B$2:$B$11)</f>
        <v>Water Bottle</v>
      </c>
      <c r="H252" s="2" t="str">
        <f>_xlfn.XLOOKUP(D252,Products!$A$2:$A$11,Products!$C$2:$C$11)</f>
        <v>Lifestyle</v>
      </c>
      <c r="I252" s="3">
        <f>_xlfn.XLOOKUP(D252,Products!$A$2:$A$11,Products!$D$2:$D$11)</f>
        <v>18</v>
      </c>
      <c r="J252" s="3" t="str">
        <f>_xlfn.XLOOKUP(C252,Customers!$A$2:$A$101,Customers!$B$2:$B$101)</f>
        <v>Customer 085</v>
      </c>
      <c r="K252" s="3" t="str">
        <f>_xlfn.XLOOKUP(C252,Customers!$A$2:$A$101,Customers!$C$2:$C$101)</f>
        <v>Birmingham</v>
      </c>
      <c r="L252" s="3" t="str">
        <f>_xlfn.XLOOKUP(C252,Customers!$A$2:$A$101,Customers!$D$2:$D$101)</f>
        <v>Small Business</v>
      </c>
      <c r="M252" s="3">
        <f t="shared" si="7"/>
        <v>17.099999999999998</v>
      </c>
      <c r="N252" s="3">
        <f>E252*_xlfn.XLOOKUP(D252,Products!$A$2:$A$11,Products!$E$2:$E$11)</f>
        <v>7</v>
      </c>
      <c r="O252" s="3">
        <f t="shared" si="6"/>
        <v>10.099999999999998</v>
      </c>
    </row>
    <row r="253" spans="1:15" x14ac:dyDescent="0.3">
      <c r="A253" t="s">
        <v>356</v>
      </c>
      <c r="B253" s="1">
        <v>45797</v>
      </c>
      <c r="C253" t="s">
        <v>156</v>
      </c>
      <c r="D253" t="s">
        <v>60</v>
      </c>
      <c r="E253">
        <v>3</v>
      </c>
      <c r="F253" s="2">
        <v>0.1</v>
      </c>
      <c r="G253" s="2" t="str">
        <f>_xlfn.XLOOKUP(D253,Products!$A$2:$A$11,Products!$B$2:$B$11)</f>
        <v>Water Bottle</v>
      </c>
      <c r="H253" s="2" t="str">
        <f>_xlfn.XLOOKUP(D253,Products!$A$2:$A$11,Products!$C$2:$C$11)</f>
        <v>Lifestyle</v>
      </c>
      <c r="I253" s="3">
        <f>_xlfn.XLOOKUP(D253,Products!$A$2:$A$11,Products!$D$2:$D$11)</f>
        <v>18</v>
      </c>
      <c r="J253" s="3" t="str">
        <f>_xlfn.XLOOKUP(C253,Customers!$A$2:$A$101,Customers!$B$2:$B$101)</f>
        <v>Customer 090</v>
      </c>
      <c r="K253" s="3" t="str">
        <f>_xlfn.XLOOKUP(C253,Customers!$A$2:$A$101,Customers!$C$2:$C$101)</f>
        <v>Bristol</v>
      </c>
      <c r="L253" s="3" t="str">
        <f>_xlfn.XLOOKUP(C253,Customers!$A$2:$A$101,Customers!$D$2:$D$101)</f>
        <v>Consumer</v>
      </c>
      <c r="M253" s="3">
        <f t="shared" si="7"/>
        <v>48.6</v>
      </c>
      <c r="N253" s="3">
        <f>E253*_xlfn.XLOOKUP(D253,Products!$A$2:$A$11,Products!$E$2:$E$11)</f>
        <v>21</v>
      </c>
      <c r="O253" s="3">
        <f t="shared" si="6"/>
        <v>27.6</v>
      </c>
    </row>
    <row r="254" spans="1:15" x14ac:dyDescent="0.3">
      <c r="A254" t="s">
        <v>357</v>
      </c>
      <c r="B254" s="1">
        <v>45661</v>
      </c>
      <c r="C254" t="s">
        <v>218</v>
      </c>
      <c r="D254" t="s">
        <v>46</v>
      </c>
      <c r="E254">
        <v>5</v>
      </c>
      <c r="F254" s="2">
        <v>0.15</v>
      </c>
      <c r="G254" s="2" t="str">
        <f>_xlfn.XLOOKUP(D254,Products!$A$2:$A$11,Products!$B$2:$B$11)</f>
        <v>Keyboard</v>
      </c>
      <c r="H254" s="2" t="str">
        <f>_xlfn.XLOOKUP(D254,Products!$A$2:$A$11,Products!$C$2:$C$11)</f>
        <v>Electronics</v>
      </c>
      <c r="I254" s="3">
        <f>_xlfn.XLOOKUP(D254,Products!$A$2:$A$11,Products!$D$2:$D$11)</f>
        <v>45</v>
      </c>
      <c r="J254" s="3" t="str">
        <f>_xlfn.XLOOKUP(C254,Customers!$A$2:$A$101,Customers!$B$2:$B$101)</f>
        <v>Customer 024</v>
      </c>
      <c r="K254" s="3" t="str">
        <f>_xlfn.XLOOKUP(C254,Customers!$A$2:$A$101,Customers!$C$2:$C$101)</f>
        <v>Leeds</v>
      </c>
      <c r="L254" s="3" t="str">
        <f>_xlfn.XLOOKUP(C254,Customers!$A$2:$A$101,Customers!$D$2:$D$101)</f>
        <v>Consumer</v>
      </c>
      <c r="M254" s="3">
        <f t="shared" si="7"/>
        <v>191.25</v>
      </c>
      <c r="N254" s="3">
        <f>E254*_xlfn.XLOOKUP(D254,Products!$A$2:$A$11,Products!$E$2:$E$11)</f>
        <v>110</v>
      </c>
      <c r="O254" s="3">
        <f t="shared" si="6"/>
        <v>81.25</v>
      </c>
    </row>
    <row r="255" spans="1:15" x14ac:dyDescent="0.3">
      <c r="A255" t="s">
        <v>358</v>
      </c>
      <c r="B255" s="1">
        <v>45693</v>
      </c>
      <c r="C255" t="s">
        <v>135</v>
      </c>
      <c r="D255" t="s">
        <v>27</v>
      </c>
      <c r="E255">
        <v>1</v>
      </c>
      <c r="F255" s="2">
        <v>0.05</v>
      </c>
      <c r="G255" s="2" t="str">
        <f>_xlfn.XLOOKUP(D255,Products!$A$2:$A$11,Products!$B$2:$B$11)</f>
        <v>Laptop Stand</v>
      </c>
      <c r="H255" s="2" t="str">
        <f>_xlfn.XLOOKUP(D255,Products!$A$2:$A$11,Products!$C$2:$C$11)</f>
        <v>Office</v>
      </c>
      <c r="I255" s="3">
        <f>_xlfn.XLOOKUP(D255,Products!$A$2:$A$11,Products!$D$2:$D$11)</f>
        <v>35</v>
      </c>
      <c r="J255" s="3" t="str">
        <f>_xlfn.XLOOKUP(C255,Customers!$A$2:$A$101,Customers!$B$2:$B$101)</f>
        <v>Customer 019</v>
      </c>
      <c r="K255" s="3" t="str">
        <f>_xlfn.XLOOKUP(C255,Customers!$A$2:$A$101,Customers!$C$2:$C$101)</f>
        <v>Manchester</v>
      </c>
      <c r="L255" s="3" t="str">
        <f>_xlfn.XLOOKUP(C255,Customers!$A$2:$A$101,Customers!$D$2:$D$101)</f>
        <v>Corporate</v>
      </c>
      <c r="M255" s="3">
        <f t="shared" si="7"/>
        <v>33.25</v>
      </c>
      <c r="N255" s="3">
        <f>E255*_xlfn.XLOOKUP(D255,Products!$A$2:$A$11,Products!$E$2:$E$11)</f>
        <v>20</v>
      </c>
      <c r="O255" s="3">
        <f t="shared" si="6"/>
        <v>13.25</v>
      </c>
    </row>
    <row r="256" spans="1:15" x14ac:dyDescent="0.3">
      <c r="A256" t="s">
        <v>359</v>
      </c>
      <c r="B256" s="1">
        <v>45850</v>
      </c>
      <c r="C256" t="s">
        <v>188</v>
      </c>
      <c r="D256" t="s">
        <v>33</v>
      </c>
      <c r="E256">
        <v>3</v>
      </c>
      <c r="F256" s="2">
        <v>0.05</v>
      </c>
      <c r="G256" s="2" t="str">
        <f>_xlfn.XLOOKUP(D256,Products!$A$2:$A$11,Products!$B$2:$B$11)</f>
        <v>Notebook Pack</v>
      </c>
      <c r="H256" s="2" t="str">
        <f>_xlfn.XLOOKUP(D256,Products!$A$2:$A$11,Products!$C$2:$C$11)</f>
        <v>Stationery</v>
      </c>
      <c r="I256" s="3">
        <f>_xlfn.XLOOKUP(D256,Products!$A$2:$A$11,Products!$D$2:$D$11)</f>
        <v>12</v>
      </c>
      <c r="J256" s="3" t="str">
        <f>_xlfn.XLOOKUP(C256,Customers!$A$2:$A$101,Customers!$B$2:$B$101)</f>
        <v>Customer 054</v>
      </c>
      <c r="K256" s="3" t="str">
        <f>_xlfn.XLOOKUP(C256,Customers!$A$2:$A$101,Customers!$C$2:$C$101)</f>
        <v>London</v>
      </c>
      <c r="L256" s="3" t="str">
        <f>_xlfn.XLOOKUP(C256,Customers!$A$2:$A$101,Customers!$D$2:$D$101)</f>
        <v>Consumer</v>
      </c>
      <c r="M256" s="3">
        <f t="shared" si="7"/>
        <v>34.199999999999996</v>
      </c>
      <c r="N256" s="3">
        <f>E256*_xlfn.XLOOKUP(D256,Products!$A$2:$A$11,Products!$E$2:$E$11)</f>
        <v>15</v>
      </c>
      <c r="O256" s="3">
        <f t="shared" si="6"/>
        <v>19.199999999999996</v>
      </c>
    </row>
    <row r="257" spans="1:15" x14ac:dyDescent="0.3">
      <c r="A257" t="s">
        <v>360</v>
      </c>
      <c r="B257" s="1">
        <v>45847</v>
      </c>
      <c r="C257" t="s">
        <v>361</v>
      </c>
      <c r="D257" t="s">
        <v>19</v>
      </c>
      <c r="E257">
        <v>5</v>
      </c>
      <c r="F257" s="2">
        <v>0</v>
      </c>
      <c r="G257" s="2" t="str">
        <f>_xlfn.XLOOKUP(D257,Products!$A$2:$A$11,Products!$B$2:$B$11)</f>
        <v>Backpack</v>
      </c>
      <c r="H257" s="2" t="str">
        <f>_xlfn.XLOOKUP(D257,Products!$A$2:$A$11,Products!$C$2:$C$11)</f>
        <v>Lifestyle</v>
      </c>
      <c r="I257" s="3">
        <f>_xlfn.XLOOKUP(D257,Products!$A$2:$A$11,Products!$D$2:$D$11)</f>
        <v>55</v>
      </c>
      <c r="J257" s="3" t="str">
        <f>_xlfn.XLOOKUP(C257,Customers!$A$2:$A$101,Customers!$B$2:$B$101)</f>
        <v>Customer 040</v>
      </c>
      <c r="K257" s="3" t="str">
        <f>_xlfn.XLOOKUP(C257,Customers!$A$2:$A$101,Customers!$C$2:$C$101)</f>
        <v>Sheffield</v>
      </c>
      <c r="L257" s="3" t="str">
        <f>_xlfn.XLOOKUP(C257,Customers!$A$2:$A$101,Customers!$D$2:$D$101)</f>
        <v>Small Business</v>
      </c>
      <c r="M257" s="3">
        <f t="shared" si="7"/>
        <v>275</v>
      </c>
      <c r="N257" s="3">
        <f>E257*_xlfn.XLOOKUP(D257,Products!$A$2:$A$11,Products!$E$2:$E$11)</f>
        <v>135</v>
      </c>
      <c r="O257" s="3">
        <f t="shared" si="6"/>
        <v>140</v>
      </c>
    </row>
    <row r="258" spans="1:15" x14ac:dyDescent="0.3">
      <c r="A258" t="s">
        <v>362</v>
      </c>
      <c r="B258" s="1">
        <v>45684</v>
      </c>
      <c r="C258" t="s">
        <v>363</v>
      </c>
      <c r="D258" t="s">
        <v>46</v>
      </c>
      <c r="E258">
        <v>5</v>
      </c>
      <c r="F258" s="2">
        <v>0</v>
      </c>
      <c r="G258" s="2" t="str">
        <f>_xlfn.XLOOKUP(D258,Products!$A$2:$A$11,Products!$B$2:$B$11)</f>
        <v>Keyboard</v>
      </c>
      <c r="H258" s="2" t="str">
        <f>_xlfn.XLOOKUP(D258,Products!$A$2:$A$11,Products!$C$2:$C$11)</f>
        <v>Electronics</v>
      </c>
      <c r="I258" s="3">
        <f>_xlfn.XLOOKUP(D258,Products!$A$2:$A$11,Products!$D$2:$D$11)</f>
        <v>45</v>
      </c>
      <c r="J258" s="3" t="str">
        <f>_xlfn.XLOOKUP(C258,Customers!$A$2:$A$101,Customers!$B$2:$B$101)</f>
        <v>Customer 020</v>
      </c>
      <c r="K258" s="3" t="str">
        <f>_xlfn.XLOOKUP(C258,Customers!$A$2:$A$101,Customers!$C$2:$C$101)</f>
        <v>Leeds</v>
      </c>
      <c r="L258" s="3" t="str">
        <f>_xlfn.XLOOKUP(C258,Customers!$A$2:$A$101,Customers!$D$2:$D$101)</f>
        <v>Small Business</v>
      </c>
      <c r="M258" s="3">
        <f t="shared" si="7"/>
        <v>225</v>
      </c>
      <c r="N258" s="3">
        <f>E258*_xlfn.XLOOKUP(D258,Products!$A$2:$A$11,Products!$E$2:$E$11)</f>
        <v>110</v>
      </c>
      <c r="O258" s="3">
        <f t="shared" si="6"/>
        <v>115</v>
      </c>
    </row>
    <row r="259" spans="1:15" x14ac:dyDescent="0.3">
      <c r="A259" t="s">
        <v>364</v>
      </c>
      <c r="B259" s="1">
        <v>46003</v>
      </c>
      <c r="C259" t="s">
        <v>70</v>
      </c>
      <c r="D259" t="s">
        <v>60</v>
      </c>
      <c r="E259">
        <v>4</v>
      </c>
      <c r="F259" s="2">
        <v>0.15</v>
      </c>
      <c r="G259" s="2" t="str">
        <f>_xlfn.XLOOKUP(D259,Products!$A$2:$A$11,Products!$B$2:$B$11)</f>
        <v>Water Bottle</v>
      </c>
      <c r="H259" s="2" t="str">
        <f>_xlfn.XLOOKUP(D259,Products!$A$2:$A$11,Products!$C$2:$C$11)</f>
        <v>Lifestyle</v>
      </c>
      <c r="I259" s="3">
        <f>_xlfn.XLOOKUP(D259,Products!$A$2:$A$11,Products!$D$2:$D$11)</f>
        <v>18</v>
      </c>
      <c r="J259" s="3" t="str">
        <f>_xlfn.XLOOKUP(C259,Customers!$A$2:$A$101,Customers!$B$2:$B$101)</f>
        <v>Customer 011</v>
      </c>
      <c r="K259" s="3" t="str">
        <f>_xlfn.XLOOKUP(C259,Customers!$A$2:$A$101,Customers!$C$2:$C$101)</f>
        <v>Manchester</v>
      </c>
      <c r="L259" s="3" t="str">
        <f>_xlfn.XLOOKUP(C259,Customers!$A$2:$A$101,Customers!$D$2:$D$101)</f>
        <v>Corporate</v>
      </c>
      <c r="M259" s="3">
        <f t="shared" si="7"/>
        <v>61.199999999999996</v>
      </c>
      <c r="N259" s="3">
        <f>E259*_xlfn.XLOOKUP(D259,Products!$A$2:$A$11,Products!$E$2:$E$11)</f>
        <v>28</v>
      </c>
      <c r="O259" s="3">
        <f t="shared" ref="O259:O322" si="8">M259-N259</f>
        <v>33.199999999999996</v>
      </c>
    </row>
    <row r="260" spans="1:15" x14ac:dyDescent="0.3">
      <c r="A260" t="s">
        <v>365</v>
      </c>
      <c r="B260" s="1">
        <v>45906</v>
      </c>
      <c r="C260" t="s">
        <v>15</v>
      </c>
      <c r="D260" t="s">
        <v>33</v>
      </c>
      <c r="E260">
        <v>4</v>
      </c>
      <c r="F260" s="2">
        <v>0.1</v>
      </c>
      <c r="G260" s="2" t="str">
        <f>_xlfn.XLOOKUP(D260,Products!$A$2:$A$11,Products!$B$2:$B$11)</f>
        <v>Notebook Pack</v>
      </c>
      <c r="H260" s="2" t="str">
        <f>_xlfn.XLOOKUP(D260,Products!$A$2:$A$11,Products!$C$2:$C$11)</f>
        <v>Stationery</v>
      </c>
      <c r="I260" s="3">
        <f>_xlfn.XLOOKUP(D260,Products!$A$2:$A$11,Products!$D$2:$D$11)</f>
        <v>12</v>
      </c>
      <c r="J260" s="3" t="str">
        <f>_xlfn.XLOOKUP(C260,Customers!$A$2:$A$101,Customers!$B$2:$B$101)</f>
        <v>Customer 078</v>
      </c>
      <c r="K260" s="3" t="str">
        <f>_xlfn.XLOOKUP(C260,Customers!$A$2:$A$101,Customers!$C$2:$C$101)</f>
        <v>Leeds</v>
      </c>
      <c r="L260" s="3" t="str">
        <f>_xlfn.XLOOKUP(C260,Customers!$A$2:$A$101,Customers!$D$2:$D$101)</f>
        <v>Corporate</v>
      </c>
      <c r="M260" s="3">
        <f t="shared" ref="M260:M323" si="9">E260*I260*(1-F260)</f>
        <v>43.2</v>
      </c>
      <c r="N260" s="3">
        <f>E260*_xlfn.XLOOKUP(D260,Products!$A$2:$A$11,Products!$E$2:$E$11)</f>
        <v>20</v>
      </c>
      <c r="O260" s="3">
        <f t="shared" si="8"/>
        <v>23.200000000000003</v>
      </c>
    </row>
    <row r="261" spans="1:15" x14ac:dyDescent="0.3">
      <c r="A261" t="s">
        <v>366</v>
      </c>
      <c r="B261" s="1">
        <v>45768</v>
      </c>
      <c r="C261" t="s">
        <v>52</v>
      </c>
      <c r="D261" t="s">
        <v>11</v>
      </c>
      <c r="E261">
        <v>1</v>
      </c>
      <c r="F261" s="2">
        <v>0.1</v>
      </c>
      <c r="G261" s="2" t="str">
        <f>_xlfn.XLOOKUP(D261,Products!$A$2:$A$11,Products!$B$2:$B$11)</f>
        <v>Office Chair</v>
      </c>
      <c r="H261" s="2" t="str">
        <f>_xlfn.XLOOKUP(D261,Products!$A$2:$A$11,Products!$C$2:$C$11)</f>
        <v>Office</v>
      </c>
      <c r="I261" s="3">
        <f>_xlfn.XLOOKUP(D261,Products!$A$2:$A$11,Products!$D$2:$D$11)</f>
        <v>180</v>
      </c>
      <c r="J261" s="3" t="str">
        <f>_xlfn.XLOOKUP(C261,Customers!$A$2:$A$101,Customers!$B$2:$B$101)</f>
        <v>Customer 097</v>
      </c>
      <c r="K261" s="3" t="str">
        <f>_xlfn.XLOOKUP(C261,Customers!$A$2:$A$101,Customers!$C$2:$C$101)</f>
        <v>Bristol</v>
      </c>
      <c r="L261" s="3" t="str">
        <f>_xlfn.XLOOKUP(C261,Customers!$A$2:$A$101,Customers!$D$2:$D$101)</f>
        <v>Small Business</v>
      </c>
      <c r="M261" s="3">
        <f t="shared" si="9"/>
        <v>162</v>
      </c>
      <c r="N261" s="3">
        <f>E261*_xlfn.XLOOKUP(D261,Products!$A$2:$A$11,Products!$E$2:$E$11)</f>
        <v>105</v>
      </c>
      <c r="O261" s="3">
        <f t="shared" si="8"/>
        <v>57</v>
      </c>
    </row>
    <row r="262" spans="1:15" x14ac:dyDescent="0.3">
      <c r="A262" t="s">
        <v>367</v>
      </c>
      <c r="B262" s="1">
        <v>45878</v>
      </c>
      <c r="C262" t="s">
        <v>113</v>
      </c>
      <c r="D262" t="s">
        <v>60</v>
      </c>
      <c r="E262">
        <v>5</v>
      </c>
      <c r="F262" s="2">
        <v>0.15</v>
      </c>
      <c r="G262" s="2" t="str">
        <f>_xlfn.XLOOKUP(D262,Products!$A$2:$A$11,Products!$B$2:$B$11)</f>
        <v>Water Bottle</v>
      </c>
      <c r="H262" s="2" t="str">
        <f>_xlfn.XLOOKUP(D262,Products!$A$2:$A$11,Products!$C$2:$C$11)</f>
        <v>Lifestyle</v>
      </c>
      <c r="I262" s="3">
        <f>_xlfn.XLOOKUP(D262,Products!$A$2:$A$11,Products!$D$2:$D$11)</f>
        <v>18</v>
      </c>
      <c r="J262" s="3" t="str">
        <f>_xlfn.XLOOKUP(C262,Customers!$A$2:$A$101,Customers!$B$2:$B$101)</f>
        <v>Customer 015</v>
      </c>
      <c r="K262" s="3" t="str">
        <f>_xlfn.XLOOKUP(C262,Customers!$A$2:$A$101,Customers!$C$2:$C$101)</f>
        <v>Sheffield</v>
      </c>
      <c r="L262" s="3" t="str">
        <f>_xlfn.XLOOKUP(C262,Customers!$A$2:$A$101,Customers!$D$2:$D$101)</f>
        <v>Corporate</v>
      </c>
      <c r="M262" s="3">
        <f t="shared" si="9"/>
        <v>76.5</v>
      </c>
      <c r="N262" s="3">
        <f>E262*_xlfn.XLOOKUP(D262,Products!$A$2:$A$11,Products!$E$2:$E$11)</f>
        <v>35</v>
      </c>
      <c r="O262" s="3">
        <f t="shared" si="8"/>
        <v>41.5</v>
      </c>
    </row>
    <row r="263" spans="1:15" x14ac:dyDescent="0.3">
      <c r="A263" t="s">
        <v>368</v>
      </c>
      <c r="B263" s="1">
        <v>45927</v>
      </c>
      <c r="C263" t="s">
        <v>32</v>
      </c>
      <c r="D263" t="s">
        <v>60</v>
      </c>
      <c r="E263">
        <v>1</v>
      </c>
      <c r="F263" s="2">
        <v>0.05</v>
      </c>
      <c r="G263" s="2" t="str">
        <f>_xlfn.XLOOKUP(D263,Products!$A$2:$A$11,Products!$B$2:$B$11)</f>
        <v>Water Bottle</v>
      </c>
      <c r="H263" s="2" t="str">
        <f>_xlfn.XLOOKUP(D263,Products!$A$2:$A$11,Products!$C$2:$C$11)</f>
        <v>Lifestyle</v>
      </c>
      <c r="I263" s="3">
        <f>_xlfn.XLOOKUP(D263,Products!$A$2:$A$11,Products!$D$2:$D$11)</f>
        <v>18</v>
      </c>
      <c r="J263" s="3" t="str">
        <f>_xlfn.XLOOKUP(C263,Customers!$A$2:$A$101,Customers!$B$2:$B$101)</f>
        <v>Customer 086</v>
      </c>
      <c r="K263" s="3" t="str">
        <f>_xlfn.XLOOKUP(C263,Customers!$A$2:$A$101,Customers!$C$2:$C$101)</f>
        <v>Manchester</v>
      </c>
      <c r="L263" s="3" t="str">
        <f>_xlfn.XLOOKUP(C263,Customers!$A$2:$A$101,Customers!$D$2:$D$101)</f>
        <v>Small Business</v>
      </c>
      <c r="M263" s="3">
        <f t="shared" si="9"/>
        <v>17.099999999999998</v>
      </c>
      <c r="N263" s="3">
        <f>E263*_xlfn.XLOOKUP(D263,Products!$A$2:$A$11,Products!$E$2:$E$11)</f>
        <v>7</v>
      </c>
      <c r="O263" s="3">
        <f t="shared" si="8"/>
        <v>10.099999999999998</v>
      </c>
    </row>
    <row r="264" spans="1:15" x14ac:dyDescent="0.3">
      <c r="A264" t="s">
        <v>369</v>
      </c>
      <c r="B264" s="1">
        <v>45860</v>
      </c>
      <c r="C264" t="s">
        <v>237</v>
      </c>
      <c r="D264" t="s">
        <v>27</v>
      </c>
      <c r="E264">
        <v>1</v>
      </c>
      <c r="F264" s="2">
        <v>0.05</v>
      </c>
      <c r="G264" s="2" t="str">
        <f>_xlfn.XLOOKUP(D264,Products!$A$2:$A$11,Products!$B$2:$B$11)</f>
        <v>Laptop Stand</v>
      </c>
      <c r="H264" s="2" t="str">
        <f>_xlfn.XLOOKUP(D264,Products!$A$2:$A$11,Products!$C$2:$C$11)</f>
        <v>Office</v>
      </c>
      <c r="I264" s="3">
        <f>_xlfn.XLOOKUP(D264,Products!$A$2:$A$11,Products!$D$2:$D$11)</f>
        <v>35</v>
      </c>
      <c r="J264" s="3" t="str">
        <f>_xlfn.XLOOKUP(C264,Customers!$A$2:$A$101,Customers!$B$2:$B$101)</f>
        <v>Customer 077</v>
      </c>
      <c r="K264" s="3" t="str">
        <f>_xlfn.XLOOKUP(C264,Customers!$A$2:$A$101,Customers!$C$2:$C$101)</f>
        <v>Leeds</v>
      </c>
      <c r="L264" s="3" t="str">
        <f>_xlfn.XLOOKUP(C264,Customers!$A$2:$A$101,Customers!$D$2:$D$101)</f>
        <v>Corporate</v>
      </c>
      <c r="M264" s="3">
        <f t="shared" si="9"/>
        <v>33.25</v>
      </c>
      <c r="N264" s="3">
        <f>E264*_xlfn.XLOOKUP(D264,Products!$A$2:$A$11,Products!$E$2:$E$11)</f>
        <v>20</v>
      </c>
      <c r="O264" s="3">
        <f t="shared" si="8"/>
        <v>13.25</v>
      </c>
    </row>
    <row r="265" spans="1:15" x14ac:dyDescent="0.3">
      <c r="A265" t="s">
        <v>370</v>
      </c>
      <c r="B265" s="1">
        <v>45812</v>
      </c>
      <c r="C265" t="s">
        <v>371</v>
      </c>
      <c r="D265" t="s">
        <v>46</v>
      </c>
      <c r="E265">
        <v>3</v>
      </c>
      <c r="F265" s="2">
        <v>0.1</v>
      </c>
      <c r="G265" s="2" t="str">
        <f>_xlfn.XLOOKUP(D265,Products!$A$2:$A$11,Products!$B$2:$B$11)</f>
        <v>Keyboard</v>
      </c>
      <c r="H265" s="2" t="str">
        <f>_xlfn.XLOOKUP(D265,Products!$A$2:$A$11,Products!$C$2:$C$11)</f>
        <v>Electronics</v>
      </c>
      <c r="I265" s="3">
        <f>_xlfn.XLOOKUP(D265,Products!$A$2:$A$11,Products!$D$2:$D$11)</f>
        <v>45</v>
      </c>
      <c r="J265" s="3" t="str">
        <f>_xlfn.XLOOKUP(C265,Customers!$A$2:$A$101,Customers!$B$2:$B$101)</f>
        <v>Customer 028</v>
      </c>
      <c r="K265" s="3" t="str">
        <f>_xlfn.XLOOKUP(C265,Customers!$A$2:$A$101,Customers!$C$2:$C$101)</f>
        <v>Leeds</v>
      </c>
      <c r="L265" s="3" t="str">
        <f>_xlfn.XLOOKUP(C265,Customers!$A$2:$A$101,Customers!$D$2:$D$101)</f>
        <v>Corporate</v>
      </c>
      <c r="M265" s="3">
        <f t="shared" si="9"/>
        <v>121.5</v>
      </c>
      <c r="N265" s="3">
        <f>E265*_xlfn.XLOOKUP(D265,Products!$A$2:$A$11,Products!$E$2:$E$11)</f>
        <v>66</v>
      </c>
      <c r="O265" s="3">
        <f t="shared" si="8"/>
        <v>55.5</v>
      </c>
    </row>
    <row r="266" spans="1:15" x14ac:dyDescent="0.3">
      <c r="A266" t="s">
        <v>372</v>
      </c>
      <c r="B266" s="1">
        <v>45825</v>
      </c>
      <c r="C266" t="s">
        <v>121</v>
      </c>
      <c r="D266" t="s">
        <v>27</v>
      </c>
      <c r="E266">
        <v>4</v>
      </c>
      <c r="F266" s="2">
        <v>0.15</v>
      </c>
      <c r="G266" s="2" t="str">
        <f>_xlfn.XLOOKUP(D266,Products!$A$2:$A$11,Products!$B$2:$B$11)</f>
        <v>Laptop Stand</v>
      </c>
      <c r="H266" s="2" t="str">
        <f>_xlfn.XLOOKUP(D266,Products!$A$2:$A$11,Products!$C$2:$C$11)</f>
        <v>Office</v>
      </c>
      <c r="I266" s="3">
        <f>_xlfn.XLOOKUP(D266,Products!$A$2:$A$11,Products!$D$2:$D$11)</f>
        <v>35</v>
      </c>
      <c r="J266" s="3" t="str">
        <f>_xlfn.XLOOKUP(C266,Customers!$A$2:$A$101,Customers!$B$2:$B$101)</f>
        <v>Customer 016</v>
      </c>
      <c r="K266" s="3" t="str">
        <f>_xlfn.XLOOKUP(C266,Customers!$A$2:$A$101,Customers!$C$2:$C$101)</f>
        <v>Leeds</v>
      </c>
      <c r="L266" s="3" t="str">
        <f>_xlfn.XLOOKUP(C266,Customers!$A$2:$A$101,Customers!$D$2:$D$101)</f>
        <v>Consumer</v>
      </c>
      <c r="M266" s="3">
        <f t="shared" si="9"/>
        <v>119</v>
      </c>
      <c r="N266" s="3">
        <f>E266*_xlfn.XLOOKUP(D266,Products!$A$2:$A$11,Products!$E$2:$E$11)</f>
        <v>80</v>
      </c>
      <c r="O266" s="3">
        <f t="shared" si="8"/>
        <v>39</v>
      </c>
    </row>
    <row r="267" spans="1:15" x14ac:dyDescent="0.3">
      <c r="A267" t="s">
        <v>373</v>
      </c>
      <c r="B267" s="1">
        <v>45747</v>
      </c>
      <c r="C267" t="s">
        <v>74</v>
      </c>
      <c r="D267" t="s">
        <v>16</v>
      </c>
      <c r="E267">
        <v>5</v>
      </c>
      <c r="F267" s="2">
        <v>0.05</v>
      </c>
      <c r="G267" s="2" t="str">
        <f>_xlfn.XLOOKUP(D267,Products!$A$2:$A$11,Products!$B$2:$B$11)</f>
        <v>Headphones</v>
      </c>
      <c r="H267" s="2" t="str">
        <f>_xlfn.XLOOKUP(D267,Products!$A$2:$A$11,Products!$C$2:$C$11)</f>
        <v>Electronics</v>
      </c>
      <c r="I267" s="3">
        <f>_xlfn.XLOOKUP(D267,Products!$A$2:$A$11,Products!$D$2:$D$11)</f>
        <v>75</v>
      </c>
      <c r="J267" s="3" t="str">
        <f>_xlfn.XLOOKUP(C267,Customers!$A$2:$A$101,Customers!$B$2:$B$101)</f>
        <v>Customer 017</v>
      </c>
      <c r="K267" s="3" t="str">
        <f>_xlfn.XLOOKUP(C267,Customers!$A$2:$A$101,Customers!$C$2:$C$101)</f>
        <v>Leeds</v>
      </c>
      <c r="L267" s="3" t="str">
        <f>_xlfn.XLOOKUP(C267,Customers!$A$2:$A$101,Customers!$D$2:$D$101)</f>
        <v>Corporate</v>
      </c>
      <c r="M267" s="3">
        <f t="shared" si="9"/>
        <v>356.25</v>
      </c>
      <c r="N267" s="3">
        <f>E267*_xlfn.XLOOKUP(D267,Products!$A$2:$A$11,Products!$E$2:$E$11)</f>
        <v>200</v>
      </c>
      <c r="O267" s="3">
        <f t="shared" si="8"/>
        <v>156.25</v>
      </c>
    </row>
    <row r="268" spans="1:15" x14ac:dyDescent="0.3">
      <c r="A268" t="s">
        <v>374</v>
      </c>
      <c r="B268" s="1">
        <v>45914</v>
      </c>
      <c r="C268" t="s">
        <v>142</v>
      </c>
      <c r="D268" t="s">
        <v>19</v>
      </c>
      <c r="E268">
        <v>1</v>
      </c>
      <c r="F268" s="2">
        <v>0.15</v>
      </c>
      <c r="G268" s="2" t="str">
        <f>_xlfn.XLOOKUP(D268,Products!$A$2:$A$11,Products!$B$2:$B$11)</f>
        <v>Backpack</v>
      </c>
      <c r="H268" s="2" t="str">
        <f>_xlfn.XLOOKUP(D268,Products!$A$2:$A$11,Products!$C$2:$C$11)</f>
        <v>Lifestyle</v>
      </c>
      <c r="I268" s="3">
        <f>_xlfn.XLOOKUP(D268,Products!$A$2:$A$11,Products!$D$2:$D$11)</f>
        <v>55</v>
      </c>
      <c r="J268" s="3" t="str">
        <f>_xlfn.XLOOKUP(C268,Customers!$A$2:$A$101,Customers!$B$2:$B$101)</f>
        <v>Customer 072</v>
      </c>
      <c r="K268" s="3" t="str">
        <f>_xlfn.XLOOKUP(C268,Customers!$A$2:$A$101,Customers!$C$2:$C$101)</f>
        <v>London</v>
      </c>
      <c r="L268" s="3" t="str">
        <f>_xlfn.XLOOKUP(C268,Customers!$A$2:$A$101,Customers!$D$2:$D$101)</f>
        <v>Consumer</v>
      </c>
      <c r="M268" s="3">
        <f t="shared" si="9"/>
        <v>46.75</v>
      </c>
      <c r="N268" s="3">
        <f>E268*_xlfn.XLOOKUP(D268,Products!$A$2:$A$11,Products!$E$2:$E$11)</f>
        <v>27</v>
      </c>
      <c r="O268" s="3">
        <f t="shared" si="8"/>
        <v>19.75</v>
      </c>
    </row>
    <row r="269" spans="1:15" x14ac:dyDescent="0.3">
      <c r="A269" t="s">
        <v>375</v>
      </c>
      <c r="B269" s="1">
        <v>45679</v>
      </c>
      <c r="C269" t="s">
        <v>116</v>
      </c>
      <c r="D269" t="s">
        <v>27</v>
      </c>
      <c r="E269">
        <v>4</v>
      </c>
      <c r="F269" s="2">
        <v>0</v>
      </c>
      <c r="G269" s="2" t="str">
        <f>_xlfn.XLOOKUP(D269,Products!$A$2:$A$11,Products!$B$2:$B$11)</f>
        <v>Laptop Stand</v>
      </c>
      <c r="H269" s="2" t="str">
        <f>_xlfn.XLOOKUP(D269,Products!$A$2:$A$11,Products!$C$2:$C$11)</f>
        <v>Office</v>
      </c>
      <c r="I269" s="3">
        <f>_xlfn.XLOOKUP(D269,Products!$A$2:$A$11,Products!$D$2:$D$11)</f>
        <v>35</v>
      </c>
      <c r="J269" s="3" t="str">
        <f>_xlfn.XLOOKUP(C269,Customers!$A$2:$A$101,Customers!$B$2:$B$101)</f>
        <v>Customer 056</v>
      </c>
      <c r="K269" s="3" t="str">
        <f>_xlfn.XLOOKUP(C269,Customers!$A$2:$A$101,Customers!$C$2:$C$101)</f>
        <v>Leeds</v>
      </c>
      <c r="L269" s="3" t="str">
        <f>_xlfn.XLOOKUP(C269,Customers!$A$2:$A$101,Customers!$D$2:$D$101)</f>
        <v>Small Business</v>
      </c>
      <c r="M269" s="3">
        <f t="shared" si="9"/>
        <v>140</v>
      </c>
      <c r="N269" s="3">
        <f>E269*_xlfn.XLOOKUP(D269,Products!$A$2:$A$11,Products!$E$2:$E$11)</f>
        <v>80</v>
      </c>
      <c r="O269" s="3">
        <f t="shared" si="8"/>
        <v>60</v>
      </c>
    </row>
    <row r="270" spans="1:15" x14ac:dyDescent="0.3">
      <c r="A270" t="s">
        <v>376</v>
      </c>
      <c r="B270" s="1">
        <v>45818</v>
      </c>
      <c r="C270" t="s">
        <v>35</v>
      </c>
      <c r="D270" t="s">
        <v>16</v>
      </c>
      <c r="E270">
        <v>5</v>
      </c>
      <c r="F270" s="2">
        <v>0.15</v>
      </c>
      <c r="G270" s="2" t="str">
        <f>_xlfn.XLOOKUP(D270,Products!$A$2:$A$11,Products!$B$2:$B$11)</f>
        <v>Headphones</v>
      </c>
      <c r="H270" s="2" t="str">
        <f>_xlfn.XLOOKUP(D270,Products!$A$2:$A$11,Products!$C$2:$C$11)</f>
        <v>Electronics</v>
      </c>
      <c r="I270" s="3">
        <f>_xlfn.XLOOKUP(D270,Products!$A$2:$A$11,Products!$D$2:$D$11)</f>
        <v>75</v>
      </c>
      <c r="J270" s="3" t="str">
        <f>_xlfn.XLOOKUP(C270,Customers!$A$2:$A$101,Customers!$B$2:$B$101)</f>
        <v>Customer 074</v>
      </c>
      <c r="K270" s="3" t="str">
        <f>_xlfn.XLOOKUP(C270,Customers!$A$2:$A$101,Customers!$C$2:$C$101)</f>
        <v>Manchester</v>
      </c>
      <c r="L270" s="3" t="str">
        <f>_xlfn.XLOOKUP(C270,Customers!$A$2:$A$101,Customers!$D$2:$D$101)</f>
        <v>Corporate</v>
      </c>
      <c r="M270" s="3">
        <f t="shared" si="9"/>
        <v>318.75</v>
      </c>
      <c r="N270" s="3">
        <f>E270*_xlfn.XLOOKUP(D270,Products!$A$2:$A$11,Products!$E$2:$E$11)</f>
        <v>200</v>
      </c>
      <c r="O270" s="3">
        <f t="shared" si="8"/>
        <v>118.75</v>
      </c>
    </row>
    <row r="271" spans="1:15" x14ac:dyDescent="0.3">
      <c r="A271" t="s">
        <v>377</v>
      </c>
      <c r="B271" s="1">
        <v>46021</v>
      </c>
      <c r="C271" t="s">
        <v>89</v>
      </c>
      <c r="D271" t="s">
        <v>16</v>
      </c>
      <c r="E271">
        <v>3</v>
      </c>
      <c r="F271" s="2">
        <v>0</v>
      </c>
      <c r="G271" s="2" t="str">
        <f>_xlfn.XLOOKUP(D271,Products!$A$2:$A$11,Products!$B$2:$B$11)</f>
        <v>Headphones</v>
      </c>
      <c r="H271" s="2" t="str">
        <f>_xlfn.XLOOKUP(D271,Products!$A$2:$A$11,Products!$C$2:$C$11)</f>
        <v>Electronics</v>
      </c>
      <c r="I271" s="3">
        <f>_xlfn.XLOOKUP(D271,Products!$A$2:$A$11,Products!$D$2:$D$11)</f>
        <v>75</v>
      </c>
      <c r="J271" s="3" t="str">
        <f>_xlfn.XLOOKUP(C271,Customers!$A$2:$A$101,Customers!$B$2:$B$101)</f>
        <v>Customer 082</v>
      </c>
      <c r="K271" s="3" t="str">
        <f>_xlfn.XLOOKUP(C271,Customers!$A$2:$A$101,Customers!$C$2:$C$101)</f>
        <v>Sheffield</v>
      </c>
      <c r="L271" s="3" t="str">
        <f>_xlfn.XLOOKUP(C271,Customers!$A$2:$A$101,Customers!$D$2:$D$101)</f>
        <v>Corporate</v>
      </c>
      <c r="M271" s="3">
        <f t="shared" si="9"/>
        <v>225</v>
      </c>
      <c r="N271" s="3">
        <f>E271*_xlfn.XLOOKUP(D271,Products!$A$2:$A$11,Products!$E$2:$E$11)</f>
        <v>120</v>
      </c>
      <c r="O271" s="3">
        <f t="shared" si="8"/>
        <v>105</v>
      </c>
    </row>
    <row r="272" spans="1:15" x14ac:dyDescent="0.3">
      <c r="A272" t="s">
        <v>378</v>
      </c>
      <c r="B272" s="1">
        <v>45865</v>
      </c>
      <c r="C272" t="s">
        <v>204</v>
      </c>
      <c r="D272" t="s">
        <v>19</v>
      </c>
      <c r="E272">
        <v>2</v>
      </c>
      <c r="F272" s="2">
        <v>0.15</v>
      </c>
      <c r="G272" s="2" t="str">
        <f>_xlfn.XLOOKUP(D272,Products!$A$2:$A$11,Products!$B$2:$B$11)</f>
        <v>Backpack</v>
      </c>
      <c r="H272" s="2" t="str">
        <f>_xlfn.XLOOKUP(D272,Products!$A$2:$A$11,Products!$C$2:$C$11)</f>
        <v>Lifestyle</v>
      </c>
      <c r="I272" s="3">
        <f>_xlfn.XLOOKUP(D272,Products!$A$2:$A$11,Products!$D$2:$D$11)</f>
        <v>55</v>
      </c>
      <c r="J272" s="3" t="str">
        <f>_xlfn.XLOOKUP(C272,Customers!$A$2:$A$101,Customers!$B$2:$B$101)</f>
        <v>Customer 003</v>
      </c>
      <c r="K272" s="3" t="str">
        <f>_xlfn.XLOOKUP(C272,Customers!$A$2:$A$101,Customers!$C$2:$C$101)</f>
        <v>Birmingham</v>
      </c>
      <c r="L272" s="3" t="str">
        <f>_xlfn.XLOOKUP(C272,Customers!$A$2:$A$101,Customers!$D$2:$D$101)</f>
        <v>Consumer</v>
      </c>
      <c r="M272" s="3">
        <f t="shared" si="9"/>
        <v>93.5</v>
      </c>
      <c r="N272" s="3">
        <f>E272*_xlfn.XLOOKUP(D272,Products!$A$2:$A$11,Products!$E$2:$E$11)</f>
        <v>54</v>
      </c>
      <c r="O272" s="3">
        <f t="shared" si="8"/>
        <v>39.5</v>
      </c>
    </row>
    <row r="273" spans="1:15" x14ac:dyDescent="0.3">
      <c r="A273" t="s">
        <v>379</v>
      </c>
      <c r="B273" s="1">
        <v>46011</v>
      </c>
      <c r="C273" t="s">
        <v>323</v>
      </c>
      <c r="D273" t="s">
        <v>30</v>
      </c>
      <c r="E273">
        <v>4</v>
      </c>
      <c r="F273" s="2">
        <v>0</v>
      </c>
      <c r="G273" s="2" t="str">
        <f>_xlfn.XLOOKUP(D273,Products!$A$2:$A$11,Products!$B$2:$B$11)</f>
        <v>Wireless Mouse</v>
      </c>
      <c r="H273" s="2" t="str">
        <f>_xlfn.XLOOKUP(D273,Products!$A$2:$A$11,Products!$C$2:$C$11)</f>
        <v>Electronics</v>
      </c>
      <c r="I273" s="3">
        <f>_xlfn.XLOOKUP(D273,Products!$A$2:$A$11,Products!$D$2:$D$11)</f>
        <v>25</v>
      </c>
      <c r="J273" s="3" t="str">
        <f>_xlfn.XLOOKUP(C273,Customers!$A$2:$A$101,Customers!$B$2:$B$101)</f>
        <v>Customer 047</v>
      </c>
      <c r="K273" s="3" t="str">
        <f>_xlfn.XLOOKUP(C273,Customers!$A$2:$A$101,Customers!$C$2:$C$101)</f>
        <v>Manchester</v>
      </c>
      <c r="L273" s="3" t="str">
        <f>_xlfn.XLOOKUP(C273,Customers!$A$2:$A$101,Customers!$D$2:$D$101)</f>
        <v>Corporate</v>
      </c>
      <c r="M273" s="3">
        <f t="shared" si="9"/>
        <v>100</v>
      </c>
      <c r="N273" s="3">
        <f>E273*_xlfn.XLOOKUP(D273,Products!$A$2:$A$11,Products!$E$2:$E$11)</f>
        <v>48</v>
      </c>
      <c r="O273" s="3">
        <f t="shared" si="8"/>
        <v>52</v>
      </c>
    </row>
    <row r="274" spans="1:15" x14ac:dyDescent="0.3">
      <c r="A274" t="s">
        <v>380</v>
      </c>
      <c r="B274" s="1">
        <v>45782</v>
      </c>
      <c r="C274" t="s">
        <v>116</v>
      </c>
      <c r="D274" t="s">
        <v>8</v>
      </c>
      <c r="E274">
        <v>4</v>
      </c>
      <c r="F274" s="2">
        <v>0</v>
      </c>
      <c r="G274" s="2" t="str">
        <f>_xlfn.XLOOKUP(D274,Products!$A$2:$A$11,Products!$B$2:$B$11)</f>
        <v>USB-C Hub</v>
      </c>
      <c r="H274" s="2" t="str">
        <f>_xlfn.XLOOKUP(D274,Products!$A$2:$A$11,Products!$C$2:$C$11)</f>
        <v>Electronics</v>
      </c>
      <c r="I274" s="3">
        <f>_xlfn.XLOOKUP(D274,Products!$A$2:$A$11,Products!$D$2:$D$11)</f>
        <v>40</v>
      </c>
      <c r="J274" s="3" t="str">
        <f>_xlfn.XLOOKUP(C274,Customers!$A$2:$A$101,Customers!$B$2:$B$101)</f>
        <v>Customer 056</v>
      </c>
      <c r="K274" s="3" t="str">
        <f>_xlfn.XLOOKUP(C274,Customers!$A$2:$A$101,Customers!$C$2:$C$101)</f>
        <v>Leeds</v>
      </c>
      <c r="L274" s="3" t="str">
        <f>_xlfn.XLOOKUP(C274,Customers!$A$2:$A$101,Customers!$D$2:$D$101)</f>
        <v>Small Business</v>
      </c>
      <c r="M274" s="3">
        <f t="shared" si="9"/>
        <v>160</v>
      </c>
      <c r="N274" s="3">
        <f>E274*_xlfn.XLOOKUP(D274,Products!$A$2:$A$11,Products!$E$2:$E$11)</f>
        <v>76</v>
      </c>
      <c r="O274" s="3">
        <f t="shared" si="8"/>
        <v>84</v>
      </c>
    </row>
    <row r="275" spans="1:15" x14ac:dyDescent="0.3">
      <c r="A275" t="s">
        <v>381</v>
      </c>
      <c r="B275" s="1">
        <v>45860</v>
      </c>
      <c r="C275" t="s">
        <v>361</v>
      </c>
      <c r="D275" t="s">
        <v>19</v>
      </c>
      <c r="E275">
        <v>2</v>
      </c>
      <c r="F275" s="2">
        <v>0.1</v>
      </c>
      <c r="G275" s="2" t="str">
        <f>_xlfn.XLOOKUP(D275,Products!$A$2:$A$11,Products!$B$2:$B$11)</f>
        <v>Backpack</v>
      </c>
      <c r="H275" s="2" t="str">
        <f>_xlfn.XLOOKUP(D275,Products!$A$2:$A$11,Products!$C$2:$C$11)</f>
        <v>Lifestyle</v>
      </c>
      <c r="I275" s="3">
        <f>_xlfn.XLOOKUP(D275,Products!$A$2:$A$11,Products!$D$2:$D$11)</f>
        <v>55</v>
      </c>
      <c r="J275" s="3" t="str">
        <f>_xlfn.XLOOKUP(C275,Customers!$A$2:$A$101,Customers!$B$2:$B$101)</f>
        <v>Customer 040</v>
      </c>
      <c r="K275" s="3" t="str">
        <f>_xlfn.XLOOKUP(C275,Customers!$A$2:$A$101,Customers!$C$2:$C$101)</f>
        <v>Sheffield</v>
      </c>
      <c r="L275" s="3" t="str">
        <f>_xlfn.XLOOKUP(C275,Customers!$A$2:$A$101,Customers!$D$2:$D$101)</f>
        <v>Small Business</v>
      </c>
      <c r="M275" s="3">
        <f t="shared" si="9"/>
        <v>99</v>
      </c>
      <c r="N275" s="3">
        <f>E275*_xlfn.XLOOKUP(D275,Products!$A$2:$A$11,Products!$E$2:$E$11)</f>
        <v>54</v>
      </c>
      <c r="O275" s="3">
        <f t="shared" si="8"/>
        <v>45</v>
      </c>
    </row>
    <row r="276" spans="1:15" x14ac:dyDescent="0.3">
      <c r="A276" t="s">
        <v>382</v>
      </c>
      <c r="B276" s="1">
        <v>45744</v>
      </c>
      <c r="C276" t="s">
        <v>26</v>
      </c>
      <c r="D276" t="s">
        <v>11</v>
      </c>
      <c r="E276">
        <v>1</v>
      </c>
      <c r="F276" s="2">
        <v>0.05</v>
      </c>
      <c r="G276" s="2" t="str">
        <f>_xlfn.XLOOKUP(D276,Products!$A$2:$A$11,Products!$B$2:$B$11)</f>
        <v>Office Chair</v>
      </c>
      <c r="H276" s="2" t="str">
        <f>_xlfn.XLOOKUP(D276,Products!$A$2:$A$11,Products!$C$2:$C$11)</f>
        <v>Office</v>
      </c>
      <c r="I276" s="3">
        <f>_xlfn.XLOOKUP(D276,Products!$A$2:$A$11,Products!$D$2:$D$11)</f>
        <v>180</v>
      </c>
      <c r="J276" s="3" t="str">
        <f>_xlfn.XLOOKUP(C276,Customers!$A$2:$A$101,Customers!$B$2:$B$101)</f>
        <v>Customer 010</v>
      </c>
      <c r="K276" s="3" t="str">
        <f>_xlfn.XLOOKUP(C276,Customers!$A$2:$A$101,Customers!$C$2:$C$101)</f>
        <v>London</v>
      </c>
      <c r="L276" s="3" t="str">
        <f>_xlfn.XLOOKUP(C276,Customers!$A$2:$A$101,Customers!$D$2:$D$101)</f>
        <v>Consumer</v>
      </c>
      <c r="M276" s="3">
        <f t="shared" si="9"/>
        <v>171</v>
      </c>
      <c r="N276" s="3">
        <f>E276*_xlfn.XLOOKUP(D276,Products!$A$2:$A$11,Products!$E$2:$E$11)</f>
        <v>105</v>
      </c>
      <c r="O276" s="3">
        <f t="shared" si="8"/>
        <v>66</v>
      </c>
    </row>
    <row r="277" spans="1:15" x14ac:dyDescent="0.3">
      <c r="A277" t="s">
        <v>383</v>
      </c>
      <c r="B277" s="1">
        <v>45836</v>
      </c>
      <c r="C277" t="s">
        <v>80</v>
      </c>
      <c r="D277" t="s">
        <v>46</v>
      </c>
      <c r="E277">
        <v>2</v>
      </c>
      <c r="F277" s="2">
        <v>0</v>
      </c>
      <c r="G277" s="2" t="str">
        <f>_xlfn.XLOOKUP(D277,Products!$A$2:$A$11,Products!$B$2:$B$11)</f>
        <v>Keyboard</v>
      </c>
      <c r="H277" s="2" t="str">
        <f>_xlfn.XLOOKUP(D277,Products!$A$2:$A$11,Products!$C$2:$C$11)</f>
        <v>Electronics</v>
      </c>
      <c r="I277" s="3">
        <f>_xlfn.XLOOKUP(D277,Products!$A$2:$A$11,Products!$D$2:$D$11)</f>
        <v>45</v>
      </c>
      <c r="J277" s="3" t="str">
        <f>_xlfn.XLOOKUP(C277,Customers!$A$2:$A$101,Customers!$B$2:$B$101)</f>
        <v>Customer 045</v>
      </c>
      <c r="K277" s="3" t="str">
        <f>_xlfn.XLOOKUP(C277,Customers!$A$2:$A$101,Customers!$C$2:$C$101)</f>
        <v>Sheffield</v>
      </c>
      <c r="L277" s="3" t="str">
        <f>_xlfn.XLOOKUP(C277,Customers!$A$2:$A$101,Customers!$D$2:$D$101)</f>
        <v>Consumer</v>
      </c>
      <c r="M277" s="3">
        <f t="shared" si="9"/>
        <v>90</v>
      </c>
      <c r="N277" s="3">
        <f>E277*_xlfn.XLOOKUP(D277,Products!$A$2:$A$11,Products!$E$2:$E$11)</f>
        <v>44</v>
      </c>
      <c r="O277" s="3">
        <f t="shared" si="8"/>
        <v>46</v>
      </c>
    </row>
    <row r="278" spans="1:15" x14ac:dyDescent="0.3">
      <c r="A278" t="s">
        <v>384</v>
      </c>
      <c r="B278" s="1">
        <v>45732</v>
      </c>
      <c r="C278" t="s">
        <v>170</v>
      </c>
      <c r="D278" t="s">
        <v>22</v>
      </c>
      <c r="E278">
        <v>2</v>
      </c>
      <c r="F278" s="2">
        <v>0.05</v>
      </c>
      <c r="G278" s="2" t="str">
        <f>_xlfn.XLOOKUP(D278,Products!$A$2:$A$11,Products!$B$2:$B$11)</f>
        <v>Desk Lamp</v>
      </c>
      <c r="H278" s="2" t="str">
        <f>_xlfn.XLOOKUP(D278,Products!$A$2:$A$11,Products!$C$2:$C$11)</f>
        <v>Office</v>
      </c>
      <c r="I278" s="3">
        <f>_xlfn.XLOOKUP(D278,Products!$A$2:$A$11,Products!$D$2:$D$11)</f>
        <v>30</v>
      </c>
      <c r="J278" s="3" t="str">
        <f>_xlfn.XLOOKUP(C278,Customers!$A$2:$A$101,Customers!$B$2:$B$101)</f>
        <v>Customer 033</v>
      </c>
      <c r="K278" s="3" t="str">
        <f>_xlfn.XLOOKUP(C278,Customers!$A$2:$A$101,Customers!$C$2:$C$101)</f>
        <v>Bristol</v>
      </c>
      <c r="L278" s="3" t="str">
        <f>_xlfn.XLOOKUP(C278,Customers!$A$2:$A$101,Customers!$D$2:$D$101)</f>
        <v>Consumer</v>
      </c>
      <c r="M278" s="3">
        <f t="shared" si="9"/>
        <v>57</v>
      </c>
      <c r="N278" s="3">
        <f>E278*_xlfn.XLOOKUP(D278,Products!$A$2:$A$11,Products!$E$2:$E$11)</f>
        <v>30</v>
      </c>
      <c r="O278" s="3">
        <f t="shared" si="8"/>
        <v>27</v>
      </c>
    </row>
    <row r="279" spans="1:15" x14ac:dyDescent="0.3">
      <c r="A279" t="s">
        <v>385</v>
      </c>
      <c r="B279" s="1">
        <v>45993</v>
      </c>
      <c r="C279" t="s">
        <v>26</v>
      </c>
      <c r="D279" t="s">
        <v>46</v>
      </c>
      <c r="E279">
        <v>4</v>
      </c>
      <c r="F279" s="2">
        <v>0.15</v>
      </c>
      <c r="G279" s="2" t="str">
        <f>_xlfn.XLOOKUP(D279,Products!$A$2:$A$11,Products!$B$2:$B$11)</f>
        <v>Keyboard</v>
      </c>
      <c r="H279" s="2" t="str">
        <f>_xlfn.XLOOKUP(D279,Products!$A$2:$A$11,Products!$C$2:$C$11)</f>
        <v>Electronics</v>
      </c>
      <c r="I279" s="3">
        <f>_xlfn.XLOOKUP(D279,Products!$A$2:$A$11,Products!$D$2:$D$11)</f>
        <v>45</v>
      </c>
      <c r="J279" s="3" t="str">
        <f>_xlfn.XLOOKUP(C279,Customers!$A$2:$A$101,Customers!$B$2:$B$101)</f>
        <v>Customer 010</v>
      </c>
      <c r="K279" s="3" t="str">
        <f>_xlfn.XLOOKUP(C279,Customers!$A$2:$A$101,Customers!$C$2:$C$101)</f>
        <v>London</v>
      </c>
      <c r="L279" s="3" t="str">
        <f>_xlfn.XLOOKUP(C279,Customers!$A$2:$A$101,Customers!$D$2:$D$101)</f>
        <v>Consumer</v>
      </c>
      <c r="M279" s="3">
        <f t="shared" si="9"/>
        <v>153</v>
      </c>
      <c r="N279" s="3">
        <f>E279*_xlfn.XLOOKUP(D279,Products!$A$2:$A$11,Products!$E$2:$E$11)</f>
        <v>88</v>
      </c>
      <c r="O279" s="3">
        <f t="shared" si="8"/>
        <v>65</v>
      </c>
    </row>
    <row r="280" spans="1:15" x14ac:dyDescent="0.3">
      <c r="A280" t="s">
        <v>386</v>
      </c>
      <c r="B280" s="1">
        <v>45946</v>
      </c>
      <c r="C280" t="s">
        <v>224</v>
      </c>
      <c r="D280" t="s">
        <v>8</v>
      </c>
      <c r="E280">
        <v>4</v>
      </c>
      <c r="F280" s="2">
        <v>0.1</v>
      </c>
      <c r="G280" s="2" t="str">
        <f>_xlfn.XLOOKUP(D280,Products!$A$2:$A$11,Products!$B$2:$B$11)</f>
        <v>USB-C Hub</v>
      </c>
      <c r="H280" s="2" t="str">
        <f>_xlfn.XLOOKUP(D280,Products!$A$2:$A$11,Products!$C$2:$C$11)</f>
        <v>Electronics</v>
      </c>
      <c r="I280" s="3">
        <f>_xlfn.XLOOKUP(D280,Products!$A$2:$A$11,Products!$D$2:$D$11)</f>
        <v>40</v>
      </c>
      <c r="J280" s="3" t="str">
        <f>_xlfn.XLOOKUP(C280,Customers!$A$2:$A$101,Customers!$B$2:$B$101)</f>
        <v>Customer 098</v>
      </c>
      <c r="K280" s="3" t="str">
        <f>_xlfn.XLOOKUP(C280,Customers!$A$2:$A$101,Customers!$C$2:$C$101)</f>
        <v>Leeds</v>
      </c>
      <c r="L280" s="3" t="str">
        <f>_xlfn.XLOOKUP(C280,Customers!$A$2:$A$101,Customers!$D$2:$D$101)</f>
        <v>Consumer</v>
      </c>
      <c r="M280" s="3">
        <f t="shared" si="9"/>
        <v>144</v>
      </c>
      <c r="N280" s="3">
        <f>E280*_xlfn.XLOOKUP(D280,Products!$A$2:$A$11,Products!$E$2:$E$11)</f>
        <v>76</v>
      </c>
      <c r="O280" s="3">
        <f t="shared" si="8"/>
        <v>68</v>
      </c>
    </row>
    <row r="281" spans="1:15" x14ac:dyDescent="0.3">
      <c r="A281" t="s">
        <v>387</v>
      </c>
      <c r="B281" s="1">
        <v>45979</v>
      </c>
      <c r="C281" t="s">
        <v>252</v>
      </c>
      <c r="D281" t="s">
        <v>46</v>
      </c>
      <c r="E281">
        <v>4</v>
      </c>
      <c r="F281" s="2">
        <v>0</v>
      </c>
      <c r="G281" s="2" t="str">
        <f>_xlfn.XLOOKUP(D281,Products!$A$2:$A$11,Products!$B$2:$B$11)</f>
        <v>Keyboard</v>
      </c>
      <c r="H281" s="2" t="str">
        <f>_xlfn.XLOOKUP(D281,Products!$A$2:$A$11,Products!$C$2:$C$11)</f>
        <v>Electronics</v>
      </c>
      <c r="I281" s="3">
        <f>_xlfn.XLOOKUP(D281,Products!$A$2:$A$11,Products!$D$2:$D$11)</f>
        <v>45</v>
      </c>
      <c r="J281" s="3" t="str">
        <f>_xlfn.XLOOKUP(C281,Customers!$A$2:$A$101,Customers!$B$2:$B$101)</f>
        <v>Customer 041</v>
      </c>
      <c r="K281" s="3" t="str">
        <f>_xlfn.XLOOKUP(C281,Customers!$A$2:$A$101,Customers!$C$2:$C$101)</f>
        <v>Manchester</v>
      </c>
      <c r="L281" s="3" t="str">
        <f>_xlfn.XLOOKUP(C281,Customers!$A$2:$A$101,Customers!$D$2:$D$101)</f>
        <v>Small Business</v>
      </c>
      <c r="M281" s="3">
        <f t="shared" si="9"/>
        <v>180</v>
      </c>
      <c r="N281" s="3">
        <f>E281*_xlfn.XLOOKUP(D281,Products!$A$2:$A$11,Products!$E$2:$E$11)</f>
        <v>88</v>
      </c>
      <c r="O281" s="3">
        <f t="shared" si="8"/>
        <v>92</v>
      </c>
    </row>
    <row r="282" spans="1:15" x14ac:dyDescent="0.3">
      <c r="A282" t="s">
        <v>388</v>
      </c>
      <c r="B282" s="1">
        <v>45898</v>
      </c>
      <c r="C282" t="s">
        <v>130</v>
      </c>
      <c r="D282" t="s">
        <v>60</v>
      </c>
      <c r="E282">
        <v>3</v>
      </c>
      <c r="F282" s="2">
        <v>0</v>
      </c>
      <c r="G282" s="2" t="str">
        <f>_xlfn.XLOOKUP(D282,Products!$A$2:$A$11,Products!$B$2:$B$11)</f>
        <v>Water Bottle</v>
      </c>
      <c r="H282" s="2" t="str">
        <f>_xlfn.XLOOKUP(D282,Products!$A$2:$A$11,Products!$C$2:$C$11)</f>
        <v>Lifestyle</v>
      </c>
      <c r="I282" s="3">
        <f>_xlfn.XLOOKUP(D282,Products!$A$2:$A$11,Products!$D$2:$D$11)</f>
        <v>18</v>
      </c>
      <c r="J282" s="3" t="str">
        <f>_xlfn.XLOOKUP(C282,Customers!$A$2:$A$101,Customers!$B$2:$B$101)</f>
        <v>Customer 057</v>
      </c>
      <c r="K282" s="3" t="str">
        <f>_xlfn.XLOOKUP(C282,Customers!$A$2:$A$101,Customers!$C$2:$C$101)</f>
        <v>London</v>
      </c>
      <c r="L282" s="3" t="str">
        <f>_xlfn.XLOOKUP(C282,Customers!$A$2:$A$101,Customers!$D$2:$D$101)</f>
        <v>Consumer</v>
      </c>
      <c r="M282" s="3">
        <f t="shared" si="9"/>
        <v>54</v>
      </c>
      <c r="N282" s="3">
        <f>E282*_xlfn.XLOOKUP(D282,Products!$A$2:$A$11,Products!$E$2:$E$11)</f>
        <v>21</v>
      </c>
      <c r="O282" s="3">
        <f t="shared" si="8"/>
        <v>33</v>
      </c>
    </row>
    <row r="283" spans="1:15" x14ac:dyDescent="0.3">
      <c r="A283" t="s">
        <v>389</v>
      </c>
      <c r="B283" s="1">
        <v>45838</v>
      </c>
      <c r="C283" t="s">
        <v>304</v>
      </c>
      <c r="D283" t="s">
        <v>30</v>
      </c>
      <c r="E283">
        <v>3</v>
      </c>
      <c r="F283" s="2">
        <v>0.15</v>
      </c>
      <c r="G283" s="2" t="str">
        <f>_xlfn.XLOOKUP(D283,Products!$A$2:$A$11,Products!$B$2:$B$11)</f>
        <v>Wireless Mouse</v>
      </c>
      <c r="H283" s="2" t="str">
        <f>_xlfn.XLOOKUP(D283,Products!$A$2:$A$11,Products!$C$2:$C$11)</f>
        <v>Electronics</v>
      </c>
      <c r="I283" s="3">
        <f>_xlfn.XLOOKUP(D283,Products!$A$2:$A$11,Products!$D$2:$D$11)</f>
        <v>25</v>
      </c>
      <c r="J283" s="3" t="str">
        <f>_xlfn.XLOOKUP(C283,Customers!$A$2:$A$101,Customers!$B$2:$B$101)</f>
        <v>Customer 065</v>
      </c>
      <c r="K283" s="3" t="str">
        <f>_xlfn.XLOOKUP(C283,Customers!$A$2:$A$101,Customers!$C$2:$C$101)</f>
        <v>Bristol</v>
      </c>
      <c r="L283" s="3" t="str">
        <f>_xlfn.XLOOKUP(C283,Customers!$A$2:$A$101,Customers!$D$2:$D$101)</f>
        <v>Corporate</v>
      </c>
      <c r="M283" s="3">
        <f t="shared" si="9"/>
        <v>63.75</v>
      </c>
      <c r="N283" s="3">
        <f>E283*_xlfn.XLOOKUP(D283,Products!$A$2:$A$11,Products!$E$2:$E$11)</f>
        <v>36</v>
      </c>
      <c r="O283" s="3">
        <f t="shared" si="8"/>
        <v>27.75</v>
      </c>
    </row>
    <row r="284" spans="1:15" x14ac:dyDescent="0.3">
      <c r="A284" t="s">
        <v>390</v>
      </c>
      <c r="B284" s="1">
        <v>45889</v>
      </c>
      <c r="C284" t="s">
        <v>96</v>
      </c>
      <c r="D284" t="s">
        <v>27</v>
      </c>
      <c r="E284">
        <v>3</v>
      </c>
      <c r="F284" s="2">
        <v>0.1</v>
      </c>
      <c r="G284" s="2" t="str">
        <f>_xlfn.XLOOKUP(D284,Products!$A$2:$A$11,Products!$B$2:$B$11)</f>
        <v>Laptop Stand</v>
      </c>
      <c r="H284" s="2" t="str">
        <f>_xlfn.XLOOKUP(D284,Products!$A$2:$A$11,Products!$C$2:$C$11)</f>
        <v>Office</v>
      </c>
      <c r="I284" s="3">
        <f>_xlfn.XLOOKUP(D284,Products!$A$2:$A$11,Products!$D$2:$D$11)</f>
        <v>35</v>
      </c>
      <c r="J284" s="3" t="str">
        <f>_xlfn.XLOOKUP(C284,Customers!$A$2:$A$101,Customers!$B$2:$B$101)</f>
        <v>Customer 005</v>
      </c>
      <c r="K284" s="3" t="str">
        <f>_xlfn.XLOOKUP(C284,Customers!$A$2:$A$101,Customers!$C$2:$C$101)</f>
        <v>Sheffield</v>
      </c>
      <c r="L284" s="3" t="str">
        <f>_xlfn.XLOOKUP(C284,Customers!$A$2:$A$101,Customers!$D$2:$D$101)</f>
        <v>Consumer</v>
      </c>
      <c r="M284" s="3">
        <f t="shared" si="9"/>
        <v>94.5</v>
      </c>
      <c r="N284" s="3">
        <f>E284*_xlfn.XLOOKUP(D284,Products!$A$2:$A$11,Products!$E$2:$E$11)</f>
        <v>60</v>
      </c>
      <c r="O284" s="3">
        <f t="shared" si="8"/>
        <v>34.5</v>
      </c>
    </row>
    <row r="285" spans="1:15" x14ac:dyDescent="0.3">
      <c r="A285" t="s">
        <v>391</v>
      </c>
      <c r="B285" s="1">
        <v>45697</v>
      </c>
      <c r="C285" t="s">
        <v>111</v>
      </c>
      <c r="D285" t="s">
        <v>30</v>
      </c>
      <c r="E285">
        <v>5</v>
      </c>
      <c r="F285" s="2">
        <v>0.15</v>
      </c>
      <c r="G285" s="2" t="str">
        <f>_xlfn.XLOOKUP(D285,Products!$A$2:$A$11,Products!$B$2:$B$11)</f>
        <v>Wireless Mouse</v>
      </c>
      <c r="H285" s="2" t="str">
        <f>_xlfn.XLOOKUP(D285,Products!$A$2:$A$11,Products!$C$2:$C$11)</f>
        <v>Electronics</v>
      </c>
      <c r="I285" s="3">
        <f>_xlfn.XLOOKUP(D285,Products!$A$2:$A$11,Products!$D$2:$D$11)</f>
        <v>25</v>
      </c>
      <c r="J285" s="3" t="str">
        <f>_xlfn.XLOOKUP(C285,Customers!$A$2:$A$101,Customers!$B$2:$B$101)</f>
        <v>Customer 083</v>
      </c>
      <c r="K285" s="3" t="str">
        <f>_xlfn.XLOOKUP(C285,Customers!$A$2:$A$101,Customers!$C$2:$C$101)</f>
        <v>Birmingham</v>
      </c>
      <c r="L285" s="3" t="str">
        <f>_xlfn.XLOOKUP(C285,Customers!$A$2:$A$101,Customers!$D$2:$D$101)</f>
        <v>Corporate</v>
      </c>
      <c r="M285" s="3">
        <f t="shared" si="9"/>
        <v>106.25</v>
      </c>
      <c r="N285" s="3">
        <f>E285*_xlfn.XLOOKUP(D285,Products!$A$2:$A$11,Products!$E$2:$E$11)</f>
        <v>60</v>
      </c>
      <c r="O285" s="3">
        <f t="shared" si="8"/>
        <v>46.25</v>
      </c>
    </row>
    <row r="286" spans="1:15" x14ac:dyDescent="0.3">
      <c r="A286" t="s">
        <v>392</v>
      </c>
      <c r="B286" s="1">
        <v>45894</v>
      </c>
      <c r="C286" t="s">
        <v>180</v>
      </c>
      <c r="D286" t="s">
        <v>11</v>
      </c>
      <c r="E286">
        <v>1</v>
      </c>
      <c r="F286" s="2">
        <v>0.15</v>
      </c>
      <c r="G286" s="2" t="str">
        <f>_xlfn.XLOOKUP(D286,Products!$A$2:$A$11,Products!$B$2:$B$11)</f>
        <v>Office Chair</v>
      </c>
      <c r="H286" s="2" t="str">
        <f>_xlfn.XLOOKUP(D286,Products!$A$2:$A$11,Products!$C$2:$C$11)</f>
        <v>Office</v>
      </c>
      <c r="I286" s="3">
        <f>_xlfn.XLOOKUP(D286,Products!$A$2:$A$11,Products!$D$2:$D$11)</f>
        <v>180</v>
      </c>
      <c r="J286" s="3" t="str">
        <f>_xlfn.XLOOKUP(C286,Customers!$A$2:$A$101,Customers!$B$2:$B$101)</f>
        <v>Customer 075</v>
      </c>
      <c r="K286" s="3" t="str">
        <f>_xlfn.XLOOKUP(C286,Customers!$A$2:$A$101,Customers!$C$2:$C$101)</f>
        <v>Leeds</v>
      </c>
      <c r="L286" s="3" t="str">
        <f>_xlfn.XLOOKUP(C286,Customers!$A$2:$A$101,Customers!$D$2:$D$101)</f>
        <v>Corporate</v>
      </c>
      <c r="M286" s="3">
        <f t="shared" si="9"/>
        <v>153</v>
      </c>
      <c r="N286" s="3">
        <f>E286*_xlfn.XLOOKUP(D286,Products!$A$2:$A$11,Products!$E$2:$E$11)</f>
        <v>105</v>
      </c>
      <c r="O286" s="3">
        <f t="shared" si="8"/>
        <v>48</v>
      </c>
    </row>
    <row r="287" spans="1:15" x14ac:dyDescent="0.3">
      <c r="A287" t="s">
        <v>393</v>
      </c>
      <c r="B287" s="1">
        <v>45950</v>
      </c>
      <c r="C287" t="s">
        <v>41</v>
      </c>
      <c r="D287" t="s">
        <v>22</v>
      </c>
      <c r="E287">
        <v>3</v>
      </c>
      <c r="F287" s="2">
        <v>0.15</v>
      </c>
      <c r="G287" s="2" t="str">
        <f>_xlfn.XLOOKUP(D287,Products!$A$2:$A$11,Products!$B$2:$B$11)</f>
        <v>Desk Lamp</v>
      </c>
      <c r="H287" s="2" t="str">
        <f>_xlfn.XLOOKUP(D287,Products!$A$2:$A$11,Products!$C$2:$C$11)</f>
        <v>Office</v>
      </c>
      <c r="I287" s="3">
        <f>_xlfn.XLOOKUP(D287,Products!$A$2:$A$11,Products!$D$2:$D$11)</f>
        <v>30</v>
      </c>
      <c r="J287" s="3" t="str">
        <f>_xlfn.XLOOKUP(C287,Customers!$A$2:$A$101,Customers!$B$2:$B$101)</f>
        <v>Customer 084</v>
      </c>
      <c r="K287" s="3" t="str">
        <f>_xlfn.XLOOKUP(C287,Customers!$A$2:$A$101,Customers!$C$2:$C$101)</f>
        <v>Birmingham</v>
      </c>
      <c r="L287" s="3" t="str">
        <f>_xlfn.XLOOKUP(C287,Customers!$A$2:$A$101,Customers!$D$2:$D$101)</f>
        <v>Consumer</v>
      </c>
      <c r="M287" s="3">
        <f t="shared" si="9"/>
        <v>76.5</v>
      </c>
      <c r="N287" s="3">
        <f>E287*_xlfn.XLOOKUP(D287,Products!$A$2:$A$11,Products!$E$2:$E$11)</f>
        <v>45</v>
      </c>
      <c r="O287" s="3">
        <f t="shared" si="8"/>
        <v>31.5</v>
      </c>
    </row>
    <row r="288" spans="1:15" x14ac:dyDescent="0.3">
      <c r="A288" t="s">
        <v>394</v>
      </c>
      <c r="B288" s="1">
        <v>45914</v>
      </c>
      <c r="C288" t="s">
        <v>363</v>
      </c>
      <c r="D288" t="s">
        <v>27</v>
      </c>
      <c r="E288">
        <v>4</v>
      </c>
      <c r="F288" s="2">
        <v>0</v>
      </c>
      <c r="G288" s="2" t="str">
        <f>_xlfn.XLOOKUP(D288,Products!$A$2:$A$11,Products!$B$2:$B$11)</f>
        <v>Laptop Stand</v>
      </c>
      <c r="H288" s="2" t="str">
        <f>_xlfn.XLOOKUP(D288,Products!$A$2:$A$11,Products!$C$2:$C$11)</f>
        <v>Office</v>
      </c>
      <c r="I288" s="3">
        <f>_xlfn.XLOOKUP(D288,Products!$A$2:$A$11,Products!$D$2:$D$11)</f>
        <v>35</v>
      </c>
      <c r="J288" s="3" t="str">
        <f>_xlfn.XLOOKUP(C288,Customers!$A$2:$A$101,Customers!$B$2:$B$101)</f>
        <v>Customer 020</v>
      </c>
      <c r="K288" s="3" t="str">
        <f>_xlfn.XLOOKUP(C288,Customers!$A$2:$A$101,Customers!$C$2:$C$101)</f>
        <v>Leeds</v>
      </c>
      <c r="L288" s="3" t="str">
        <f>_xlfn.XLOOKUP(C288,Customers!$A$2:$A$101,Customers!$D$2:$D$101)</f>
        <v>Small Business</v>
      </c>
      <c r="M288" s="3">
        <f t="shared" si="9"/>
        <v>140</v>
      </c>
      <c r="N288" s="3">
        <f>E288*_xlfn.XLOOKUP(D288,Products!$A$2:$A$11,Products!$E$2:$E$11)</f>
        <v>80</v>
      </c>
      <c r="O288" s="3">
        <f t="shared" si="8"/>
        <v>60</v>
      </c>
    </row>
    <row r="289" spans="1:15" x14ac:dyDescent="0.3">
      <c r="A289" t="s">
        <v>395</v>
      </c>
      <c r="B289" s="1">
        <v>45833</v>
      </c>
      <c r="C289" t="s">
        <v>182</v>
      </c>
      <c r="D289" t="s">
        <v>30</v>
      </c>
      <c r="E289">
        <v>5</v>
      </c>
      <c r="F289" s="2">
        <v>0.05</v>
      </c>
      <c r="G289" s="2" t="str">
        <f>_xlfn.XLOOKUP(D289,Products!$A$2:$A$11,Products!$B$2:$B$11)</f>
        <v>Wireless Mouse</v>
      </c>
      <c r="H289" s="2" t="str">
        <f>_xlfn.XLOOKUP(D289,Products!$A$2:$A$11,Products!$C$2:$C$11)</f>
        <v>Electronics</v>
      </c>
      <c r="I289" s="3">
        <f>_xlfn.XLOOKUP(D289,Products!$A$2:$A$11,Products!$D$2:$D$11)</f>
        <v>25</v>
      </c>
      <c r="J289" s="3" t="str">
        <f>_xlfn.XLOOKUP(C289,Customers!$A$2:$A$101,Customers!$B$2:$B$101)</f>
        <v>Customer 092</v>
      </c>
      <c r="K289" s="3" t="str">
        <f>_xlfn.XLOOKUP(C289,Customers!$A$2:$A$101,Customers!$C$2:$C$101)</f>
        <v>Sheffield</v>
      </c>
      <c r="L289" s="3" t="str">
        <f>_xlfn.XLOOKUP(C289,Customers!$A$2:$A$101,Customers!$D$2:$D$101)</f>
        <v>Corporate</v>
      </c>
      <c r="M289" s="3">
        <f t="shared" si="9"/>
        <v>118.75</v>
      </c>
      <c r="N289" s="3">
        <f>E289*_xlfn.XLOOKUP(D289,Products!$A$2:$A$11,Products!$E$2:$E$11)</f>
        <v>60</v>
      </c>
      <c r="O289" s="3">
        <f t="shared" si="8"/>
        <v>58.75</v>
      </c>
    </row>
    <row r="290" spans="1:15" x14ac:dyDescent="0.3">
      <c r="A290" t="s">
        <v>396</v>
      </c>
      <c r="B290" s="1">
        <v>45678</v>
      </c>
      <c r="C290" t="s">
        <v>21</v>
      </c>
      <c r="D290" t="s">
        <v>33</v>
      </c>
      <c r="E290">
        <v>4</v>
      </c>
      <c r="F290" s="2">
        <v>0.05</v>
      </c>
      <c r="G290" s="2" t="str">
        <f>_xlfn.XLOOKUP(D290,Products!$A$2:$A$11,Products!$B$2:$B$11)</f>
        <v>Notebook Pack</v>
      </c>
      <c r="H290" s="2" t="str">
        <f>_xlfn.XLOOKUP(D290,Products!$A$2:$A$11,Products!$C$2:$C$11)</f>
        <v>Stationery</v>
      </c>
      <c r="I290" s="3">
        <f>_xlfn.XLOOKUP(D290,Products!$A$2:$A$11,Products!$D$2:$D$11)</f>
        <v>12</v>
      </c>
      <c r="J290" s="3" t="str">
        <f>_xlfn.XLOOKUP(C290,Customers!$A$2:$A$101,Customers!$B$2:$B$101)</f>
        <v>Customer 032</v>
      </c>
      <c r="K290" s="3" t="str">
        <f>_xlfn.XLOOKUP(C290,Customers!$A$2:$A$101,Customers!$C$2:$C$101)</f>
        <v>Bristol</v>
      </c>
      <c r="L290" s="3" t="str">
        <f>_xlfn.XLOOKUP(C290,Customers!$A$2:$A$101,Customers!$D$2:$D$101)</f>
        <v>Small Business</v>
      </c>
      <c r="M290" s="3">
        <f t="shared" si="9"/>
        <v>45.599999999999994</v>
      </c>
      <c r="N290" s="3">
        <f>E290*_xlfn.XLOOKUP(D290,Products!$A$2:$A$11,Products!$E$2:$E$11)</f>
        <v>20</v>
      </c>
      <c r="O290" s="3">
        <f t="shared" si="8"/>
        <v>25.599999999999994</v>
      </c>
    </row>
    <row r="291" spans="1:15" x14ac:dyDescent="0.3">
      <c r="A291" t="s">
        <v>397</v>
      </c>
      <c r="B291" s="1">
        <v>45844</v>
      </c>
      <c r="C291" t="s">
        <v>186</v>
      </c>
      <c r="D291" t="s">
        <v>60</v>
      </c>
      <c r="E291">
        <v>4</v>
      </c>
      <c r="F291" s="2">
        <v>0.15</v>
      </c>
      <c r="G291" s="2" t="str">
        <f>_xlfn.XLOOKUP(D291,Products!$A$2:$A$11,Products!$B$2:$B$11)</f>
        <v>Water Bottle</v>
      </c>
      <c r="H291" s="2" t="str">
        <f>_xlfn.XLOOKUP(D291,Products!$A$2:$A$11,Products!$C$2:$C$11)</f>
        <v>Lifestyle</v>
      </c>
      <c r="I291" s="3">
        <f>_xlfn.XLOOKUP(D291,Products!$A$2:$A$11,Products!$D$2:$D$11)</f>
        <v>18</v>
      </c>
      <c r="J291" s="3" t="str">
        <f>_xlfn.XLOOKUP(C291,Customers!$A$2:$A$101,Customers!$B$2:$B$101)</f>
        <v>Customer 048</v>
      </c>
      <c r="K291" s="3" t="str">
        <f>_xlfn.XLOOKUP(C291,Customers!$A$2:$A$101,Customers!$C$2:$C$101)</f>
        <v>Sheffield</v>
      </c>
      <c r="L291" s="3" t="str">
        <f>_xlfn.XLOOKUP(C291,Customers!$A$2:$A$101,Customers!$D$2:$D$101)</f>
        <v>Consumer</v>
      </c>
      <c r="M291" s="3">
        <f t="shared" si="9"/>
        <v>61.199999999999996</v>
      </c>
      <c r="N291" s="3">
        <f>E291*_xlfn.XLOOKUP(D291,Products!$A$2:$A$11,Products!$E$2:$E$11)</f>
        <v>28</v>
      </c>
      <c r="O291" s="3">
        <f t="shared" si="8"/>
        <v>33.199999999999996</v>
      </c>
    </row>
    <row r="292" spans="1:15" x14ac:dyDescent="0.3">
      <c r="A292" t="s">
        <v>398</v>
      </c>
      <c r="B292" s="1">
        <v>45831</v>
      </c>
      <c r="C292" t="s">
        <v>399</v>
      </c>
      <c r="D292" t="s">
        <v>8</v>
      </c>
      <c r="E292">
        <v>1</v>
      </c>
      <c r="F292" s="2">
        <v>0.1</v>
      </c>
      <c r="G292" s="2" t="str">
        <f>_xlfn.XLOOKUP(D292,Products!$A$2:$A$11,Products!$B$2:$B$11)</f>
        <v>USB-C Hub</v>
      </c>
      <c r="H292" s="2" t="str">
        <f>_xlfn.XLOOKUP(D292,Products!$A$2:$A$11,Products!$C$2:$C$11)</f>
        <v>Electronics</v>
      </c>
      <c r="I292" s="3">
        <f>_xlfn.XLOOKUP(D292,Products!$A$2:$A$11,Products!$D$2:$D$11)</f>
        <v>40</v>
      </c>
      <c r="J292" s="3" t="str">
        <f>_xlfn.XLOOKUP(C292,Customers!$A$2:$A$101,Customers!$B$2:$B$101)</f>
        <v>Customer 087</v>
      </c>
      <c r="K292" s="3" t="str">
        <f>_xlfn.XLOOKUP(C292,Customers!$A$2:$A$101,Customers!$C$2:$C$101)</f>
        <v>London</v>
      </c>
      <c r="L292" s="3" t="str">
        <f>_xlfn.XLOOKUP(C292,Customers!$A$2:$A$101,Customers!$D$2:$D$101)</f>
        <v>Corporate</v>
      </c>
      <c r="M292" s="3">
        <f t="shared" si="9"/>
        <v>36</v>
      </c>
      <c r="N292" s="3">
        <f>E292*_xlfn.XLOOKUP(D292,Products!$A$2:$A$11,Products!$E$2:$E$11)</f>
        <v>19</v>
      </c>
      <c r="O292" s="3">
        <f t="shared" si="8"/>
        <v>17</v>
      </c>
    </row>
    <row r="293" spans="1:15" x14ac:dyDescent="0.3">
      <c r="A293" t="s">
        <v>400</v>
      </c>
      <c r="B293" s="1">
        <v>45691</v>
      </c>
      <c r="C293" t="s">
        <v>29</v>
      </c>
      <c r="D293" t="s">
        <v>30</v>
      </c>
      <c r="E293">
        <v>5</v>
      </c>
      <c r="F293" s="2">
        <v>0.15</v>
      </c>
      <c r="G293" s="2" t="str">
        <f>_xlfn.XLOOKUP(D293,Products!$A$2:$A$11,Products!$B$2:$B$11)</f>
        <v>Wireless Mouse</v>
      </c>
      <c r="H293" s="2" t="str">
        <f>_xlfn.XLOOKUP(D293,Products!$A$2:$A$11,Products!$C$2:$C$11)</f>
        <v>Electronics</v>
      </c>
      <c r="I293" s="3">
        <f>_xlfn.XLOOKUP(D293,Products!$A$2:$A$11,Products!$D$2:$D$11)</f>
        <v>25</v>
      </c>
      <c r="J293" s="3" t="str">
        <f>_xlfn.XLOOKUP(C293,Customers!$A$2:$A$101,Customers!$B$2:$B$101)</f>
        <v>Customer 043</v>
      </c>
      <c r="K293" s="3" t="str">
        <f>_xlfn.XLOOKUP(C293,Customers!$A$2:$A$101,Customers!$C$2:$C$101)</f>
        <v>Sheffield</v>
      </c>
      <c r="L293" s="3" t="str">
        <f>_xlfn.XLOOKUP(C293,Customers!$A$2:$A$101,Customers!$D$2:$D$101)</f>
        <v>Small Business</v>
      </c>
      <c r="M293" s="3">
        <f t="shared" si="9"/>
        <v>106.25</v>
      </c>
      <c r="N293" s="3">
        <f>E293*_xlfn.XLOOKUP(D293,Products!$A$2:$A$11,Products!$E$2:$E$11)</f>
        <v>60</v>
      </c>
      <c r="O293" s="3">
        <f t="shared" si="8"/>
        <v>46.25</v>
      </c>
    </row>
    <row r="294" spans="1:15" x14ac:dyDescent="0.3">
      <c r="A294" t="s">
        <v>401</v>
      </c>
      <c r="B294" s="1">
        <v>45803</v>
      </c>
      <c r="C294" t="s">
        <v>170</v>
      </c>
      <c r="D294" t="s">
        <v>8</v>
      </c>
      <c r="E294">
        <v>2</v>
      </c>
      <c r="F294" s="2">
        <v>0.1</v>
      </c>
      <c r="G294" s="2" t="str">
        <f>_xlfn.XLOOKUP(D294,Products!$A$2:$A$11,Products!$B$2:$B$11)</f>
        <v>USB-C Hub</v>
      </c>
      <c r="H294" s="2" t="str">
        <f>_xlfn.XLOOKUP(D294,Products!$A$2:$A$11,Products!$C$2:$C$11)</f>
        <v>Electronics</v>
      </c>
      <c r="I294" s="3">
        <f>_xlfn.XLOOKUP(D294,Products!$A$2:$A$11,Products!$D$2:$D$11)</f>
        <v>40</v>
      </c>
      <c r="J294" s="3" t="str">
        <f>_xlfn.XLOOKUP(C294,Customers!$A$2:$A$101,Customers!$B$2:$B$101)</f>
        <v>Customer 033</v>
      </c>
      <c r="K294" s="3" t="str">
        <f>_xlfn.XLOOKUP(C294,Customers!$A$2:$A$101,Customers!$C$2:$C$101)</f>
        <v>Bristol</v>
      </c>
      <c r="L294" s="3" t="str">
        <f>_xlfn.XLOOKUP(C294,Customers!$A$2:$A$101,Customers!$D$2:$D$101)</f>
        <v>Consumer</v>
      </c>
      <c r="M294" s="3">
        <f t="shared" si="9"/>
        <v>72</v>
      </c>
      <c r="N294" s="3">
        <f>E294*_xlfn.XLOOKUP(D294,Products!$A$2:$A$11,Products!$E$2:$E$11)</f>
        <v>38</v>
      </c>
      <c r="O294" s="3">
        <f t="shared" si="8"/>
        <v>34</v>
      </c>
    </row>
    <row r="295" spans="1:15" x14ac:dyDescent="0.3">
      <c r="A295" t="s">
        <v>402</v>
      </c>
      <c r="B295" s="1">
        <v>45699</v>
      </c>
      <c r="C295" t="s">
        <v>180</v>
      </c>
      <c r="D295" t="s">
        <v>46</v>
      </c>
      <c r="E295">
        <v>3</v>
      </c>
      <c r="F295" s="2">
        <v>0.1</v>
      </c>
      <c r="G295" s="2" t="str">
        <f>_xlfn.XLOOKUP(D295,Products!$A$2:$A$11,Products!$B$2:$B$11)</f>
        <v>Keyboard</v>
      </c>
      <c r="H295" s="2" t="str">
        <f>_xlfn.XLOOKUP(D295,Products!$A$2:$A$11,Products!$C$2:$C$11)</f>
        <v>Electronics</v>
      </c>
      <c r="I295" s="3">
        <f>_xlfn.XLOOKUP(D295,Products!$A$2:$A$11,Products!$D$2:$D$11)</f>
        <v>45</v>
      </c>
      <c r="J295" s="3" t="str">
        <f>_xlfn.XLOOKUP(C295,Customers!$A$2:$A$101,Customers!$B$2:$B$101)</f>
        <v>Customer 075</v>
      </c>
      <c r="K295" s="3" t="str">
        <f>_xlfn.XLOOKUP(C295,Customers!$A$2:$A$101,Customers!$C$2:$C$101)</f>
        <v>Leeds</v>
      </c>
      <c r="L295" s="3" t="str">
        <f>_xlfn.XLOOKUP(C295,Customers!$A$2:$A$101,Customers!$D$2:$D$101)</f>
        <v>Corporate</v>
      </c>
      <c r="M295" s="3">
        <f t="shared" si="9"/>
        <v>121.5</v>
      </c>
      <c r="N295" s="3">
        <f>E295*_xlfn.XLOOKUP(D295,Products!$A$2:$A$11,Products!$E$2:$E$11)</f>
        <v>66</v>
      </c>
      <c r="O295" s="3">
        <f t="shared" si="8"/>
        <v>55.5</v>
      </c>
    </row>
    <row r="296" spans="1:15" x14ac:dyDescent="0.3">
      <c r="A296" t="s">
        <v>403</v>
      </c>
      <c r="B296" s="1">
        <v>45993</v>
      </c>
      <c r="C296" t="s">
        <v>156</v>
      </c>
      <c r="D296" t="s">
        <v>16</v>
      </c>
      <c r="E296">
        <v>2</v>
      </c>
      <c r="F296" s="2">
        <v>0</v>
      </c>
      <c r="G296" s="2" t="str">
        <f>_xlfn.XLOOKUP(D296,Products!$A$2:$A$11,Products!$B$2:$B$11)</f>
        <v>Headphones</v>
      </c>
      <c r="H296" s="2" t="str">
        <f>_xlfn.XLOOKUP(D296,Products!$A$2:$A$11,Products!$C$2:$C$11)</f>
        <v>Electronics</v>
      </c>
      <c r="I296" s="3">
        <f>_xlfn.XLOOKUP(D296,Products!$A$2:$A$11,Products!$D$2:$D$11)</f>
        <v>75</v>
      </c>
      <c r="J296" s="3" t="str">
        <f>_xlfn.XLOOKUP(C296,Customers!$A$2:$A$101,Customers!$B$2:$B$101)</f>
        <v>Customer 090</v>
      </c>
      <c r="K296" s="3" t="str">
        <f>_xlfn.XLOOKUP(C296,Customers!$A$2:$A$101,Customers!$C$2:$C$101)</f>
        <v>Bristol</v>
      </c>
      <c r="L296" s="3" t="str">
        <f>_xlfn.XLOOKUP(C296,Customers!$A$2:$A$101,Customers!$D$2:$D$101)</f>
        <v>Consumer</v>
      </c>
      <c r="M296" s="3">
        <f t="shared" si="9"/>
        <v>150</v>
      </c>
      <c r="N296" s="3">
        <f>E296*_xlfn.XLOOKUP(D296,Products!$A$2:$A$11,Products!$E$2:$E$11)</f>
        <v>80</v>
      </c>
      <c r="O296" s="3">
        <f t="shared" si="8"/>
        <v>70</v>
      </c>
    </row>
    <row r="297" spans="1:15" x14ac:dyDescent="0.3">
      <c r="A297" t="s">
        <v>404</v>
      </c>
      <c r="B297" s="1">
        <v>45816</v>
      </c>
      <c r="C297" t="s">
        <v>142</v>
      </c>
      <c r="D297" t="s">
        <v>16</v>
      </c>
      <c r="E297">
        <v>3</v>
      </c>
      <c r="F297" s="2">
        <v>0.05</v>
      </c>
      <c r="G297" s="2" t="str">
        <f>_xlfn.XLOOKUP(D297,Products!$A$2:$A$11,Products!$B$2:$B$11)</f>
        <v>Headphones</v>
      </c>
      <c r="H297" s="2" t="str">
        <f>_xlfn.XLOOKUP(D297,Products!$A$2:$A$11,Products!$C$2:$C$11)</f>
        <v>Electronics</v>
      </c>
      <c r="I297" s="3">
        <f>_xlfn.XLOOKUP(D297,Products!$A$2:$A$11,Products!$D$2:$D$11)</f>
        <v>75</v>
      </c>
      <c r="J297" s="3" t="str">
        <f>_xlfn.XLOOKUP(C297,Customers!$A$2:$A$101,Customers!$B$2:$B$101)</f>
        <v>Customer 072</v>
      </c>
      <c r="K297" s="3" t="str">
        <f>_xlfn.XLOOKUP(C297,Customers!$A$2:$A$101,Customers!$C$2:$C$101)</f>
        <v>London</v>
      </c>
      <c r="L297" s="3" t="str">
        <f>_xlfn.XLOOKUP(C297,Customers!$A$2:$A$101,Customers!$D$2:$D$101)</f>
        <v>Consumer</v>
      </c>
      <c r="M297" s="3">
        <f t="shared" si="9"/>
        <v>213.75</v>
      </c>
      <c r="N297" s="3">
        <f>E297*_xlfn.XLOOKUP(D297,Products!$A$2:$A$11,Products!$E$2:$E$11)</f>
        <v>120</v>
      </c>
      <c r="O297" s="3">
        <f t="shared" si="8"/>
        <v>93.75</v>
      </c>
    </row>
    <row r="298" spans="1:15" x14ac:dyDescent="0.3">
      <c r="A298" t="s">
        <v>405</v>
      </c>
      <c r="B298" s="1">
        <v>46001</v>
      </c>
      <c r="C298" t="s">
        <v>156</v>
      </c>
      <c r="D298" t="s">
        <v>11</v>
      </c>
      <c r="E298">
        <v>1</v>
      </c>
      <c r="F298" s="2">
        <v>0.15</v>
      </c>
      <c r="G298" s="2" t="str">
        <f>_xlfn.XLOOKUP(D298,Products!$A$2:$A$11,Products!$B$2:$B$11)</f>
        <v>Office Chair</v>
      </c>
      <c r="H298" s="2" t="str">
        <f>_xlfn.XLOOKUP(D298,Products!$A$2:$A$11,Products!$C$2:$C$11)</f>
        <v>Office</v>
      </c>
      <c r="I298" s="3">
        <f>_xlfn.XLOOKUP(D298,Products!$A$2:$A$11,Products!$D$2:$D$11)</f>
        <v>180</v>
      </c>
      <c r="J298" s="3" t="str">
        <f>_xlfn.XLOOKUP(C298,Customers!$A$2:$A$101,Customers!$B$2:$B$101)</f>
        <v>Customer 090</v>
      </c>
      <c r="K298" s="3" t="str">
        <f>_xlfn.XLOOKUP(C298,Customers!$A$2:$A$101,Customers!$C$2:$C$101)</f>
        <v>Bristol</v>
      </c>
      <c r="L298" s="3" t="str">
        <f>_xlfn.XLOOKUP(C298,Customers!$A$2:$A$101,Customers!$D$2:$D$101)</f>
        <v>Consumer</v>
      </c>
      <c r="M298" s="3">
        <f t="shared" si="9"/>
        <v>153</v>
      </c>
      <c r="N298" s="3">
        <f>E298*_xlfn.XLOOKUP(D298,Products!$A$2:$A$11,Products!$E$2:$E$11)</f>
        <v>105</v>
      </c>
      <c r="O298" s="3">
        <f t="shared" si="8"/>
        <v>48</v>
      </c>
    </row>
    <row r="299" spans="1:15" x14ac:dyDescent="0.3">
      <c r="A299" t="s">
        <v>406</v>
      </c>
      <c r="B299" s="1">
        <v>45918</v>
      </c>
      <c r="C299" t="s">
        <v>323</v>
      </c>
      <c r="D299" t="s">
        <v>27</v>
      </c>
      <c r="E299">
        <v>3</v>
      </c>
      <c r="F299" s="2">
        <v>0.1</v>
      </c>
      <c r="G299" s="2" t="str">
        <f>_xlfn.XLOOKUP(D299,Products!$A$2:$A$11,Products!$B$2:$B$11)</f>
        <v>Laptop Stand</v>
      </c>
      <c r="H299" s="2" t="str">
        <f>_xlfn.XLOOKUP(D299,Products!$A$2:$A$11,Products!$C$2:$C$11)</f>
        <v>Office</v>
      </c>
      <c r="I299" s="3">
        <f>_xlfn.XLOOKUP(D299,Products!$A$2:$A$11,Products!$D$2:$D$11)</f>
        <v>35</v>
      </c>
      <c r="J299" s="3" t="str">
        <f>_xlfn.XLOOKUP(C299,Customers!$A$2:$A$101,Customers!$B$2:$B$101)</f>
        <v>Customer 047</v>
      </c>
      <c r="K299" s="3" t="str">
        <f>_xlfn.XLOOKUP(C299,Customers!$A$2:$A$101,Customers!$C$2:$C$101)</f>
        <v>Manchester</v>
      </c>
      <c r="L299" s="3" t="str">
        <f>_xlfn.XLOOKUP(C299,Customers!$A$2:$A$101,Customers!$D$2:$D$101)</f>
        <v>Corporate</v>
      </c>
      <c r="M299" s="3">
        <f t="shared" si="9"/>
        <v>94.5</v>
      </c>
      <c r="N299" s="3">
        <f>E299*_xlfn.XLOOKUP(D299,Products!$A$2:$A$11,Products!$E$2:$E$11)</f>
        <v>60</v>
      </c>
      <c r="O299" s="3">
        <f t="shared" si="8"/>
        <v>34.5</v>
      </c>
    </row>
    <row r="300" spans="1:15" x14ac:dyDescent="0.3">
      <c r="A300" t="s">
        <v>407</v>
      </c>
      <c r="B300" s="1">
        <v>45750</v>
      </c>
      <c r="C300" t="s">
        <v>371</v>
      </c>
      <c r="D300" t="s">
        <v>19</v>
      </c>
      <c r="E300">
        <v>4</v>
      </c>
      <c r="F300" s="2">
        <v>0.05</v>
      </c>
      <c r="G300" s="2" t="str">
        <f>_xlfn.XLOOKUP(D300,Products!$A$2:$A$11,Products!$B$2:$B$11)</f>
        <v>Backpack</v>
      </c>
      <c r="H300" s="2" t="str">
        <f>_xlfn.XLOOKUP(D300,Products!$A$2:$A$11,Products!$C$2:$C$11)</f>
        <v>Lifestyle</v>
      </c>
      <c r="I300" s="3">
        <f>_xlfn.XLOOKUP(D300,Products!$A$2:$A$11,Products!$D$2:$D$11)</f>
        <v>55</v>
      </c>
      <c r="J300" s="3" t="str">
        <f>_xlfn.XLOOKUP(C300,Customers!$A$2:$A$101,Customers!$B$2:$B$101)</f>
        <v>Customer 028</v>
      </c>
      <c r="K300" s="3" t="str">
        <f>_xlfn.XLOOKUP(C300,Customers!$A$2:$A$101,Customers!$C$2:$C$101)</f>
        <v>Leeds</v>
      </c>
      <c r="L300" s="3" t="str">
        <f>_xlfn.XLOOKUP(C300,Customers!$A$2:$A$101,Customers!$D$2:$D$101)</f>
        <v>Corporate</v>
      </c>
      <c r="M300" s="3">
        <f t="shared" si="9"/>
        <v>209</v>
      </c>
      <c r="N300" s="3">
        <f>E300*_xlfn.XLOOKUP(D300,Products!$A$2:$A$11,Products!$E$2:$E$11)</f>
        <v>108</v>
      </c>
      <c r="O300" s="3">
        <f t="shared" si="8"/>
        <v>101</v>
      </c>
    </row>
    <row r="301" spans="1:15" x14ac:dyDescent="0.3">
      <c r="A301" t="s">
        <v>408</v>
      </c>
      <c r="B301" s="1">
        <v>45773</v>
      </c>
      <c r="C301" t="s">
        <v>315</v>
      </c>
      <c r="D301" t="s">
        <v>46</v>
      </c>
      <c r="E301">
        <v>1</v>
      </c>
      <c r="F301" s="2">
        <v>0.1</v>
      </c>
      <c r="G301" s="2" t="str">
        <f>_xlfn.XLOOKUP(D301,Products!$A$2:$A$11,Products!$B$2:$B$11)</f>
        <v>Keyboard</v>
      </c>
      <c r="H301" s="2" t="str">
        <f>_xlfn.XLOOKUP(D301,Products!$A$2:$A$11,Products!$C$2:$C$11)</f>
        <v>Electronics</v>
      </c>
      <c r="I301" s="3">
        <f>_xlfn.XLOOKUP(D301,Products!$A$2:$A$11,Products!$D$2:$D$11)</f>
        <v>45</v>
      </c>
      <c r="J301" s="3" t="str">
        <f>_xlfn.XLOOKUP(C301,Customers!$A$2:$A$101,Customers!$B$2:$B$101)</f>
        <v>Customer 018</v>
      </c>
      <c r="K301" s="3" t="str">
        <f>_xlfn.XLOOKUP(C301,Customers!$A$2:$A$101,Customers!$C$2:$C$101)</f>
        <v>Birmingham</v>
      </c>
      <c r="L301" s="3" t="str">
        <f>_xlfn.XLOOKUP(C301,Customers!$A$2:$A$101,Customers!$D$2:$D$101)</f>
        <v>Consumer</v>
      </c>
      <c r="M301" s="3">
        <f t="shared" si="9"/>
        <v>40.5</v>
      </c>
      <c r="N301" s="3">
        <f>E301*_xlfn.XLOOKUP(D301,Products!$A$2:$A$11,Products!$E$2:$E$11)</f>
        <v>22</v>
      </c>
      <c r="O301" s="3">
        <f t="shared" si="8"/>
        <v>18.5</v>
      </c>
    </row>
    <row r="302" spans="1:15" x14ac:dyDescent="0.3">
      <c r="A302" t="s">
        <v>409</v>
      </c>
      <c r="B302" s="1">
        <v>45709</v>
      </c>
      <c r="C302" t="s">
        <v>304</v>
      </c>
      <c r="D302" t="s">
        <v>11</v>
      </c>
      <c r="E302">
        <v>5</v>
      </c>
      <c r="F302" s="2">
        <v>0</v>
      </c>
      <c r="G302" s="2" t="str">
        <f>_xlfn.XLOOKUP(D302,Products!$A$2:$A$11,Products!$B$2:$B$11)</f>
        <v>Office Chair</v>
      </c>
      <c r="H302" s="2" t="str">
        <f>_xlfn.XLOOKUP(D302,Products!$A$2:$A$11,Products!$C$2:$C$11)</f>
        <v>Office</v>
      </c>
      <c r="I302" s="3">
        <f>_xlfn.XLOOKUP(D302,Products!$A$2:$A$11,Products!$D$2:$D$11)</f>
        <v>180</v>
      </c>
      <c r="J302" s="3" t="str">
        <f>_xlfn.XLOOKUP(C302,Customers!$A$2:$A$101,Customers!$B$2:$B$101)</f>
        <v>Customer 065</v>
      </c>
      <c r="K302" s="3" t="str">
        <f>_xlfn.XLOOKUP(C302,Customers!$A$2:$A$101,Customers!$C$2:$C$101)</f>
        <v>Bristol</v>
      </c>
      <c r="L302" s="3" t="str">
        <f>_xlfn.XLOOKUP(C302,Customers!$A$2:$A$101,Customers!$D$2:$D$101)</f>
        <v>Corporate</v>
      </c>
      <c r="M302" s="3">
        <f t="shared" si="9"/>
        <v>900</v>
      </c>
      <c r="N302" s="3">
        <f>E302*_xlfn.XLOOKUP(D302,Products!$A$2:$A$11,Products!$E$2:$E$11)</f>
        <v>525</v>
      </c>
      <c r="O302" s="3">
        <f t="shared" si="8"/>
        <v>375</v>
      </c>
    </row>
    <row r="303" spans="1:15" x14ac:dyDescent="0.3">
      <c r="A303" t="s">
        <v>410</v>
      </c>
      <c r="B303" s="1">
        <v>45996</v>
      </c>
      <c r="C303" t="s">
        <v>411</v>
      </c>
      <c r="D303" t="s">
        <v>8</v>
      </c>
      <c r="E303">
        <v>2</v>
      </c>
      <c r="F303" s="2">
        <v>0.15</v>
      </c>
      <c r="G303" s="2" t="str">
        <f>_xlfn.XLOOKUP(D303,Products!$A$2:$A$11,Products!$B$2:$B$11)</f>
        <v>USB-C Hub</v>
      </c>
      <c r="H303" s="2" t="str">
        <f>_xlfn.XLOOKUP(D303,Products!$A$2:$A$11,Products!$C$2:$C$11)</f>
        <v>Electronics</v>
      </c>
      <c r="I303" s="3">
        <f>_xlfn.XLOOKUP(D303,Products!$A$2:$A$11,Products!$D$2:$D$11)</f>
        <v>40</v>
      </c>
      <c r="J303" s="3" t="str">
        <f>_xlfn.XLOOKUP(C303,Customers!$A$2:$A$101,Customers!$B$2:$B$101)</f>
        <v>Customer 044</v>
      </c>
      <c r="K303" s="3" t="str">
        <f>_xlfn.XLOOKUP(C303,Customers!$A$2:$A$101,Customers!$C$2:$C$101)</f>
        <v>Sheffield</v>
      </c>
      <c r="L303" s="3" t="str">
        <f>_xlfn.XLOOKUP(C303,Customers!$A$2:$A$101,Customers!$D$2:$D$101)</f>
        <v>Corporate</v>
      </c>
      <c r="M303" s="3">
        <f t="shared" si="9"/>
        <v>68</v>
      </c>
      <c r="N303" s="3">
        <f>E303*_xlfn.XLOOKUP(D303,Products!$A$2:$A$11,Products!$E$2:$E$11)</f>
        <v>38</v>
      </c>
      <c r="O303" s="3">
        <f t="shared" si="8"/>
        <v>30</v>
      </c>
    </row>
    <row r="304" spans="1:15" x14ac:dyDescent="0.3">
      <c r="A304" t="s">
        <v>412</v>
      </c>
      <c r="B304" s="1">
        <v>45736</v>
      </c>
      <c r="C304" t="s">
        <v>82</v>
      </c>
      <c r="D304" t="s">
        <v>46</v>
      </c>
      <c r="E304">
        <v>5</v>
      </c>
      <c r="F304" s="2">
        <v>0.05</v>
      </c>
      <c r="G304" s="2" t="str">
        <f>_xlfn.XLOOKUP(D304,Products!$A$2:$A$11,Products!$B$2:$B$11)</f>
        <v>Keyboard</v>
      </c>
      <c r="H304" s="2" t="str">
        <f>_xlfn.XLOOKUP(D304,Products!$A$2:$A$11,Products!$C$2:$C$11)</f>
        <v>Electronics</v>
      </c>
      <c r="I304" s="3">
        <f>_xlfn.XLOOKUP(D304,Products!$A$2:$A$11,Products!$D$2:$D$11)</f>
        <v>45</v>
      </c>
      <c r="J304" s="3" t="str">
        <f>_xlfn.XLOOKUP(C304,Customers!$A$2:$A$101,Customers!$B$2:$B$101)</f>
        <v>Customer 021</v>
      </c>
      <c r="K304" s="3" t="str">
        <f>_xlfn.XLOOKUP(C304,Customers!$A$2:$A$101,Customers!$C$2:$C$101)</f>
        <v>Birmingham</v>
      </c>
      <c r="L304" s="3" t="str">
        <f>_xlfn.XLOOKUP(C304,Customers!$A$2:$A$101,Customers!$D$2:$D$101)</f>
        <v>Consumer</v>
      </c>
      <c r="M304" s="3">
        <f t="shared" si="9"/>
        <v>213.75</v>
      </c>
      <c r="N304" s="3">
        <f>E304*_xlfn.XLOOKUP(D304,Products!$A$2:$A$11,Products!$E$2:$E$11)</f>
        <v>110</v>
      </c>
      <c r="O304" s="3">
        <f t="shared" si="8"/>
        <v>103.75</v>
      </c>
    </row>
    <row r="305" spans="1:15" x14ac:dyDescent="0.3">
      <c r="A305" t="s">
        <v>413</v>
      </c>
      <c r="B305" s="1">
        <v>45882</v>
      </c>
      <c r="C305" t="s">
        <v>173</v>
      </c>
      <c r="D305" t="s">
        <v>16</v>
      </c>
      <c r="E305">
        <v>3</v>
      </c>
      <c r="F305" s="2">
        <v>0.05</v>
      </c>
      <c r="G305" s="2" t="str">
        <f>_xlfn.XLOOKUP(D305,Products!$A$2:$A$11,Products!$B$2:$B$11)</f>
        <v>Headphones</v>
      </c>
      <c r="H305" s="2" t="str">
        <f>_xlfn.XLOOKUP(D305,Products!$A$2:$A$11,Products!$C$2:$C$11)</f>
        <v>Electronics</v>
      </c>
      <c r="I305" s="3">
        <f>_xlfn.XLOOKUP(D305,Products!$A$2:$A$11,Products!$D$2:$D$11)</f>
        <v>75</v>
      </c>
      <c r="J305" s="3" t="str">
        <f>_xlfn.XLOOKUP(C305,Customers!$A$2:$A$101,Customers!$B$2:$B$101)</f>
        <v>Customer 006</v>
      </c>
      <c r="K305" s="3" t="str">
        <f>_xlfn.XLOOKUP(C305,Customers!$A$2:$A$101,Customers!$C$2:$C$101)</f>
        <v>Sheffield</v>
      </c>
      <c r="L305" s="3" t="str">
        <f>_xlfn.XLOOKUP(C305,Customers!$A$2:$A$101,Customers!$D$2:$D$101)</f>
        <v>Corporate</v>
      </c>
      <c r="M305" s="3">
        <f t="shared" si="9"/>
        <v>213.75</v>
      </c>
      <c r="N305" s="3">
        <f>E305*_xlfn.XLOOKUP(D305,Products!$A$2:$A$11,Products!$E$2:$E$11)</f>
        <v>120</v>
      </c>
      <c r="O305" s="3">
        <f t="shared" si="8"/>
        <v>93.75</v>
      </c>
    </row>
    <row r="306" spans="1:15" x14ac:dyDescent="0.3">
      <c r="A306" t="s">
        <v>414</v>
      </c>
      <c r="B306" s="1">
        <v>45885</v>
      </c>
      <c r="C306" t="s">
        <v>137</v>
      </c>
      <c r="D306" t="s">
        <v>60</v>
      </c>
      <c r="E306">
        <v>4</v>
      </c>
      <c r="F306" s="2">
        <v>0.05</v>
      </c>
      <c r="G306" s="2" t="str">
        <f>_xlfn.XLOOKUP(D306,Products!$A$2:$A$11,Products!$B$2:$B$11)</f>
        <v>Water Bottle</v>
      </c>
      <c r="H306" s="2" t="str">
        <f>_xlfn.XLOOKUP(D306,Products!$A$2:$A$11,Products!$C$2:$C$11)</f>
        <v>Lifestyle</v>
      </c>
      <c r="I306" s="3">
        <f>_xlfn.XLOOKUP(D306,Products!$A$2:$A$11,Products!$D$2:$D$11)</f>
        <v>18</v>
      </c>
      <c r="J306" s="3" t="str">
        <f>_xlfn.XLOOKUP(C306,Customers!$A$2:$A$101,Customers!$B$2:$B$101)</f>
        <v>Customer 079</v>
      </c>
      <c r="K306" s="3" t="str">
        <f>_xlfn.XLOOKUP(C306,Customers!$A$2:$A$101,Customers!$C$2:$C$101)</f>
        <v>Birmingham</v>
      </c>
      <c r="L306" s="3" t="str">
        <f>_xlfn.XLOOKUP(C306,Customers!$A$2:$A$101,Customers!$D$2:$D$101)</f>
        <v>Corporate</v>
      </c>
      <c r="M306" s="3">
        <f t="shared" si="9"/>
        <v>68.399999999999991</v>
      </c>
      <c r="N306" s="3">
        <f>E306*_xlfn.XLOOKUP(D306,Products!$A$2:$A$11,Products!$E$2:$E$11)</f>
        <v>28</v>
      </c>
      <c r="O306" s="3">
        <f t="shared" si="8"/>
        <v>40.399999999999991</v>
      </c>
    </row>
    <row r="307" spans="1:15" x14ac:dyDescent="0.3">
      <c r="A307" t="s">
        <v>415</v>
      </c>
      <c r="B307" s="1">
        <v>45931</v>
      </c>
      <c r="C307" t="s">
        <v>7</v>
      </c>
      <c r="D307" t="s">
        <v>60</v>
      </c>
      <c r="E307">
        <v>4</v>
      </c>
      <c r="F307" s="2">
        <v>0.05</v>
      </c>
      <c r="G307" s="2" t="str">
        <f>_xlfn.XLOOKUP(D307,Products!$A$2:$A$11,Products!$B$2:$B$11)</f>
        <v>Water Bottle</v>
      </c>
      <c r="H307" s="2" t="str">
        <f>_xlfn.XLOOKUP(D307,Products!$A$2:$A$11,Products!$C$2:$C$11)</f>
        <v>Lifestyle</v>
      </c>
      <c r="I307" s="3">
        <f>_xlfn.XLOOKUP(D307,Products!$A$2:$A$11,Products!$D$2:$D$11)</f>
        <v>18</v>
      </c>
      <c r="J307" s="3" t="str">
        <f>_xlfn.XLOOKUP(C307,Customers!$A$2:$A$101,Customers!$B$2:$B$101)</f>
        <v>Customer 031</v>
      </c>
      <c r="K307" s="3" t="str">
        <f>_xlfn.XLOOKUP(C307,Customers!$A$2:$A$101,Customers!$C$2:$C$101)</f>
        <v>Birmingham</v>
      </c>
      <c r="L307" s="3" t="str">
        <f>_xlfn.XLOOKUP(C307,Customers!$A$2:$A$101,Customers!$D$2:$D$101)</f>
        <v>Corporate</v>
      </c>
      <c r="M307" s="3">
        <f t="shared" si="9"/>
        <v>68.399999999999991</v>
      </c>
      <c r="N307" s="3">
        <f>E307*_xlfn.XLOOKUP(D307,Products!$A$2:$A$11,Products!$E$2:$E$11)</f>
        <v>28</v>
      </c>
      <c r="O307" s="3">
        <f t="shared" si="8"/>
        <v>40.399999999999991</v>
      </c>
    </row>
    <row r="308" spans="1:15" x14ac:dyDescent="0.3">
      <c r="A308" t="s">
        <v>416</v>
      </c>
      <c r="B308" s="1">
        <v>45846</v>
      </c>
      <c r="C308" t="s">
        <v>399</v>
      </c>
      <c r="D308" t="s">
        <v>8</v>
      </c>
      <c r="E308">
        <v>4</v>
      </c>
      <c r="F308" s="2">
        <v>0.15</v>
      </c>
      <c r="G308" s="2" t="str">
        <f>_xlfn.XLOOKUP(D308,Products!$A$2:$A$11,Products!$B$2:$B$11)</f>
        <v>USB-C Hub</v>
      </c>
      <c r="H308" s="2" t="str">
        <f>_xlfn.XLOOKUP(D308,Products!$A$2:$A$11,Products!$C$2:$C$11)</f>
        <v>Electronics</v>
      </c>
      <c r="I308" s="3">
        <f>_xlfn.XLOOKUP(D308,Products!$A$2:$A$11,Products!$D$2:$D$11)</f>
        <v>40</v>
      </c>
      <c r="J308" s="3" t="str">
        <f>_xlfn.XLOOKUP(C308,Customers!$A$2:$A$101,Customers!$B$2:$B$101)</f>
        <v>Customer 087</v>
      </c>
      <c r="K308" s="3" t="str">
        <f>_xlfn.XLOOKUP(C308,Customers!$A$2:$A$101,Customers!$C$2:$C$101)</f>
        <v>London</v>
      </c>
      <c r="L308" s="3" t="str">
        <f>_xlfn.XLOOKUP(C308,Customers!$A$2:$A$101,Customers!$D$2:$D$101)</f>
        <v>Corporate</v>
      </c>
      <c r="M308" s="3">
        <f t="shared" si="9"/>
        <v>136</v>
      </c>
      <c r="N308" s="3">
        <f>E308*_xlfn.XLOOKUP(D308,Products!$A$2:$A$11,Products!$E$2:$E$11)</f>
        <v>76</v>
      </c>
      <c r="O308" s="3">
        <f t="shared" si="8"/>
        <v>60</v>
      </c>
    </row>
    <row r="309" spans="1:15" x14ac:dyDescent="0.3">
      <c r="A309" t="s">
        <v>417</v>
      </c>
      <c r="B309" s="1">
        <v>45802</v>
      </c>
      <c r="C309" t="s">
        <v>101</v>
      </c>
      <c r="D309" t="s">
        <v>16</v>
      </c>
      <c r="E309">
        <v>5</v>
      </c>
      <c r="F309" s="2">
        <v>0.15</v>
      </c>
      <c r="G309" s="2" t="str">
        <f>_xlfn.XLOOKUP(D309,Products!$A$2:$A$11,Products!$B$2:$B$11)</f>
        <v>Headphones</v>
      </c>
      <c r="H309" s="2" t="str">
        <f>_xlfn.XLOOKUP(D309,Products!$A$2:$A$11,Products!$C$2:$C$11)</f>
        <v>Electronics</v>
      </c>
      <c r="I309" s="3">
        <f>_xlfn.XLOOKUP(D309,Products!$A$2:$A$11,Products!$D$2:$D$11)</f>
        <v>75</v>
      </c>
      <c r="J309" s="3" t="str">
        <f>_xlfn.XLOOKUP(C309,Customers!$A$2:$A$101,Customers!$B$2:$B$101)</f>
        <v>Customer 100</v>
      </c>
      <c r="K309" s="3" t="str">
        <f>_xlfn.XLOOKUP(C309,Customers!$A$2:$A$101,Customers!$C$2:$C$101)</f>
        <v>Birmingham</v>
      </c>
      <c r="L309" s="3" t="str">
        <f>_xlfn.XLOOKUP(C309,Customers!$A$2:$A$101,Customers!$D$2:$D$101)</f>
        <v>Consumer</v>
      </c>
      <c r="M309" s="3">
        <f t="shared" si="9"/>
        <v>318.75</v>
      </c>
      <c r="N309" s="3">
        <f>E309*_xlfn.XLOOKUP(D309,Products!$A$2:$A$11,Products!$E$2:$E$11)</f>
        <v>200</v>
      </c>
      <c r="O309" s="3">
        <f t="shared" si="8"/>
        <v>118.75</v>
      </c>
    </row>
    <row r="310" spans="1:15" x14ac:dyDescent="0.3">
      <c r="A310" t="s">
        <v>418</v>
      </c>
      <c r="B310" s="1">
        <v>45740</v>
      </c>
      <c r="C310" t="s">
        <v>302</v>
      </c>
      <c r="D310" t="s">
        <v>8</v>
      </c>
      <c r="E310">
        <v>2</v>
      </c>
      <c r="F310" s="2">
        <v>0.1</v>
      </c>
      <c r="G310" s="2" t="str">
        <f>_xlfn.XLOOKUP(D310,Products!$A$2:$A$11,Products!$B$2:$B$11)</f>
        <v>USB-C Hub</v>
      </c>
      <c r="H310" s="2" t="str">
        <f>_xlfn.XLOOKUP(D310,Products!$A$2:$A$11,Products!$C$2:$C$11)</f>
        <v>Electronics</v>
      </c>
      <c r="I310" s="3">
        <f>_xlfn.XLOOKUP(D310,Products!$A$2:$A$11,Products!$D$2:$D$11)</f>
        <v>40</v>
      </c>
      <c r="J310" s="3" t="str">
        <f>_xlfn.XLOOKUP(C310,Customers!$A$2:$A$101,Customers!$B$2:$B$101)</f>
        <v>Customer 026</v>
      </c>
      <c r="K310" s="3" t="str">
        <f>_xlfn.XLOOKUP(C310,Customers!$A$2:$A$101,Customers!$C$2:$C$101)</f>
        <v>Bristol</v>
      </c>
      <c r="L310" s="3" t="str">
        <f>_xlfn.XLOOKUP(C310,Customers!$A$2:$A$101,Customers!$D$2:$D$101)</f>
        <v>Small Business</v>
      </c>
      <c r="M310" s="3">
        <f t="shared" si="9"/>
        <v>72</v>
      </c>
      <c r="N310" s="3">
        <f>E310*_xlfn.XLOOKUP(D310,Products!$A$2:$A$11,Products!$E$2:$E$11)</f>
        <v>38</v>
      </c>
      <c r="O310" s="3">
        <f t="shared" si="8"/>
        <v>34</v>
      </c>
    </row>
    <row r="311" spans="1:15" x14ac:dyDescent="0.3">
      <c r="A311" t="s">
        <v>419</v>
      </c>
      <c r="B311" s="1">
        <v>45684</v>
      </c>
      <c r="C311" t="s">
        <v>111</v>
      </c>
      <c r="D311" t="s">
        <v>33</v>
      </c>
      <c r="E311">
        <v>3</v>
      </c>
      <c r="F311" s="2">
        <v>0</v>
      </c>
      <c r="G311" s="2" t="str">
        <f>_xlfn.XLOOKUP(D311,Products!$A$2:$A$11,Products!$B$2:$B$11)</f>
        <v>Notebook Pack</v>
      </c>
      <c r="H311" s="2" t="str">
        <f>_xlfn.XLOOKUP(D311,Products!$A$2:$A$11,Products!$C$2:$C$11)</f>
        <v>Stationery</v>
      </c>
      <c r="I311" s="3">
        <f>_xlfn.XLOOKUP(D311,Products!$A$2:$A$11,Products!$D$2:$D$11)</f>
        <v>12</v>
      </c>
      <c r="J311" s="3" t="str">
        <f>_xlfn.XLOOKUP(C311,Customers!$A$2:$A$101,Customers!$B$2:$B$101)</f>
        <v>Customer 083</v>
      </c>
      <c r="K311" s="3" t="str">
        <f>_xlfn.XLOOKUP(C311,Customers!$A$2:$A$101,Customers!$C$2:$C$101)</f>
        <v>Birmingham</v>
      </c>
      <c r="L311" s="3" t="str">
        <f>_xlfn.XLOOKUP(C311,Customers!$A$2:$A$101,Customers!$D$2:$D$101)</f>
        <v>Corporate</v>
      </c>
      <c r="M311" s="3">
        <f t="shared" si="9"/>
        <v>36</v>
      </c>
      <c r="N311" s="3">
        <f>E311*_xlfn.XLOOKUP(D311,Products!$A$2:$A$11,Products!$E$2:$E$11)</f>
        <v>15</v>
      </c>
      <c r="O311" s="3">
        <f t="shared" si="8"/>
        <v>21</v>
      </c>
    </row>
    <row r="312" spans="1:15" x14ac:dyDescent="0.3">
      <c r="A312" t="s">
        <v>420</v>
      </c>
      <c r="B312" s="1">
        <v>46022</v>
      </c>
      <c r="C312" t="s">
        <v>246</v>
      </c>
      <c r="D312" t="s">
        <v>30</v>
      </c>
      <c r="E312">
        <v>3</v>
      </c>
      <c r="F312" s="2">
        <v>0</v>
      </c>
      <c r="G312" s="2" t="str">
        <f>_xlfn.XLOOKUP(D312,Products!$A$2:$A$11,Products!$B$2:$B$11)</f>
        <v>Wireless Mouse</v>
      </c>
      <c r="H312" s="2" t="str">
        <f>_xlfn.XLOOKUP(D312,Products!$A$2:$A$11,Products!$C$2:$C$11)</f>
        <v>Electronics</v>
      </c>
      <c r="I312" s="3">
        <f>_xlfn.XLOOKUP(D312,Products!$A$2:$A$11,Products!$D$2:$D$11)</f>
        <v>25</v>
      </c>
      <c r="J312" s="3" t="str">
        <f>_xlfn.XLOOKUP(C312,Customers!$A$2:$A$101,Customers!$B$2:$B$101)</f>
        <v>Customer 067</v>
      </c>
      <c r="K312" s="3" t="str">
        <f>_xlfn.XLOOKUP(C312,Customers!$A$2:$A$101,Customers!$C$2:$C$101)</f>
        <v>Bristol</v>
      </c>
      <c r="L312" s="3" t="str">
        <f>_xlfn.XLOOKUP(C312,Customers!$A$2:$A$101,Customers!$D$2:$D$101)</f>
        <v>Small Business</v>
      </c>
      <c r="M312" s="3">
        <f t="shared" si="9"/>
        <v>75</v>
      </c>
      <c r="N312" s="3">
        <f>E312*_xlfn.XLOOKUP(D312,Products!$A$2:$A$11,Products!$E$2:$E$11)</f>
        <v>36</v>
      </c>
      <c r="O312" s="3">
        <f t="shared" si="8"/>
        <v>39</v>
      </c>
    </row>
    <row r="313" spans="1:15" x14ac:dyDescent="0.3">
      <c r="A313" t="s">
        <v>421</v>
      </c>
      <c r="B313" s="1">
        <v>45740</v>
      </c>
      <c r="C313" t="s">
        <v>244</v>
      </c>
      <c r="D313" t="s">
        <v>33</v>
      </c>
      <c r="E313">
        <v>5</v>
      </c>
      <c r="F313" s="2">
        <v>0.05</v>
      </c>
      <c r="G313" s="2" t="str">
        <f>_xlfn.XLOOKUP(D313,Products!$A$2:$A$11,Products!$B$2:$B$11)</f>
        <v>Notebook Pack</v>
      </c>
      <c r="H313" s="2" t="str">
        <f>_xlfn.XLOOKUP(D313,Products!$A$2:$A$11,Products!$C$2:$C$11)</f>
        <v>Stationery</v>
      </c>
      <c r="I313" s="3">
        <f>_xlfn.XLOOKUP(D313,Products!$A$2:$A$11,Products!$D$2:$D$11)</f>
        <v>12</v>
      </c>
      <c r="J313" s="3" t="str">
        <f>_xlfn.XLOOKUP(C313,Customers!$A$2:$A$101,Customers!$B$2:$B$101)</f>
        <v>Customer 035</v>
      </c>
      <c r="K313" s="3" t="str">
        <f>_xlfn.XLOOKUP(C313,Customers!$A$2:$A$101,Customers!$C$2:$C$101)</f>
        <v>London</v>
      </c>
      <c r="L313" s="3" t="str">
        <f>_xlfn.XLOOKUP(C313,Customers!$A$2:$A$101,Customers!$D$2:$D$101)</f>
        <v>Corporate</v>
      </c>
      <c r="M313" s="3">
        <f t="shared" si="9"/>
        <v>57</v>
      </c>
      <c r="N313" s="3">
        <f>E313*_xlfn.XLOOKUP(D313,Products!$A$2:$A$11,Products!$E$2:$E$11)</f>
        <v>25</v>
      </c>
      <c r="O313" s="3">
        <f t="shared" si="8"/>
        <v>32</v>
      </c>
    </row>
    <row r="314" spans="1:15" x14ac:dyDescent="0.3">
      <c r="A314" t="s">
        <v>422</v>
      </c>
      <c r="B314" s="1">
        <v>45881</v>
      </c>
      <c r="C314" t="s">
        <v>194</v>
      </c>
      <c r="D314" t="s">
        <v>22</v>
      </c>
      <c r="E314">
        <v>4</v>
      </c>
      <c r="F314" s="2">
        <v>0.1</v>
      </c>
      <c r="G314" s="2" t="str">
        <f>_xlfn.XLOOKUP(D314,Products!$A$2:$A$11,Products!$B$2:$B$11)</f>
        <v>Desk Lamp</v>
      </c>
      <c r="H314" s="2" t="str">
        <f>_xlfn.XLOOKUP(D314,Products!$A$2:$A$11,Products!$C$2:$C$11)</f>
        <v>Office</v>
      </c>
      <c r="I314" s="3">
        <f>_xlfn.XLOOKUP(D314,Products!$A$2:$A$11,Products!$D$2:$D$11)</f>
        <v>30</v>
      </c>
      <c r="J314" s="3" t="str">
        <f>_xlfn.XLOOKUP(C314,Customers!$A$2:$A$101,Customers!$B$2:$B$101)</f>
        <v>Customer 012</v>
      </c>
      <c r="K314" s="3" t="str">
        <f>_xlfn.XLOOKUP(C314,Customers!$A$2:$A$101,Customers!$C$2:$C$101)</f>
        <v>Bristol</v>
      </c>
      <c r="L314" s="3" t="str">
        <f>_xlfn.XLOOKUP(C314,Customers!$A$2:$A$101,Customers!$D$2:$D$101)</f>
        <v>Consumer</v>
      </c>
      <c r="M314" s="3">
        <f t="shared" si="9"/>
        <v>108</v>
      </c>
      <c r="N314" s="3">
        <f>E314*_xlfn.XLOOKUP(D314,Products!$A$2:$A$11,Products!$E$2:$E$11)</f>
        <v>60</v>
      </c>
      <c r="O314" s="3">
        <f t="shared" si="8"/>
        <v>48</v>
      </c>
    </row>
    <row r="315" spans="1:15" x14ac:dyDescent="0.3">
      <c r="A315" t="s">
        <v>423</v>
      </c>
      <c r="B315" s="1">
        <v>45671</v>
      </c>
      <c r="C315" t="s">
        <v>188</v>
      </c>
      <c r="D315" t="s">
        <v>27</v>
      </c>
      <c r="E315">
        <v>4</v>
      </c>
      <c r="F315" s="2">
        <v>0.1</v>
      </c>
      <c r="G315" s="2" t="str">
        <f>_xlfn.XLOOKUP(D315,Products!$A$2:$A$11,Products!$B$2:$B$11)</f>
        <v>Laptop Stand</v>
      </c>
      <c r="H315" s="2" t="str">
        <f>_xlfn.XLOOKUP(D315,Products!$A$2:$A$11,Products!$C$2:$C$11)</f>
        <v>Office</v>
      </c>
      <c r="I315" s="3">
        <f>_xlfn.XLOOKUP(D315,Products!$A$2:$A$11,Products!$D$2:$D$11)</f>
        <v>35</v>
      </c>
      <c r="J315" s="3" t="str">
        <f>_xlfn.XLOOKUP(C315,Customers!$A$2:$A$101,Customers!$B$2:$B$101)</f>
        <v>Customer 054</v>
      </c>
      <c r="K315" s="3" t="str">
        <f>_xlfn.XLOOKUP(C315,Customers!$A$2:$A$101,Customers!$C$2:$C$101)</f>
        <v>London</v>
      </c>
      <c r="L315" s="3" t="str">
        <f>_xlfn.XLOOKUP(C315,Customers!$A$2:$A$101,Customers!$D$2:$D$101)</f>
        <v>Consumer</v>
      </c>
      <c r="M315" s="3">
        <f t="shared" si="9"/>
        <v>126</v>
      </c>
      <c r="N315" s="3">
        <f>E315*_xlfn.XLOOKUP(D315,Products!$A$2:$A$11,Products!$E$2:$E$11)</f>
        <v>80</v>
      </c>
      <c r="O315" s="3">
        <f t="shared" si="8"/>
        <v>46</v>
      </c>
    </row>
    <row r="316" spans="1:15" x14ac:dyDescent="0.3">
      <c r="A316" t="s">
        <v>424</v>
      </c>
      <c r="B316" s="1">
        <v>45778</v>
      </c>
      <c r="C316" t="s">
        <v>161</v>
      </c>
      <c r="D316" t="s">
        <v>30</v>
      </c>
      <c r="E316">
        <v>3</v>
      </c>
      <c r="F316" s="2">
        <v>0.05</v>
      </c>
      <c r="G316" s="2" t="str">
        <f>_xlfn.XLOOKUP(D316,Products!$A$2:$A$11,Products!$B$2:$B$11)</f>
        <v>Wireless Mouse</v>
      </c>
      <c r="H316" s="2" t="str">
        <f>_xlfn.XLOOKUP(D316,Products!$A$2:$A$11,Products!$C$2:$C$11)</f>
        <v>Electronics</v>
      </c>
      <c r="I316" s="3">
        <f>_xlfn.XLOOKUP(D316,Products!$A$2:$A$11,Products!$D$2:$D$11)</f>
        <v>25</v>
      </c>
      <c r="J316" s="3" t="str">
        <f>_xlfn.XLOOKUP(C316,Customers!$A$2:$A$101,Customers!$B$2:$B$101)</f>
        <v>Customer 050</v>
      </c>
      <c r="K316" s="3" t="str">
        <f>_xlfn.XLOOKUP(C316,Customers!$A$2:$A$101,Customers!$C$2:$C$101)</f>
        <v>Leeds</v>
      </c>
      <c r="L316" s="3" t="str">
        <f>_xlfn.XLOOKUP(C316,Customers!$A$2:$A$101,Customers!$D$2:$D$101)</f>
        <v>Small Business</v>
      </c>
      <c r="M316" s="3">
        <f t="shared" si="9"/>
        <v>71.25</v>
      </c>
      <c r="N316" s="3">
        <f>E316*_xlfn.XLOOKUP(D316,Products!$A$2:$A$11,Products!$E$2:$E$11)</f>
        <v>36</v>
      </c>
      <c r="O316" s="3">
        <f t="shared" si="8"/>
        <v>35.25</v>
      </c>
    </row>
    <row r="317" spans="1:15" x14ac:dyDescent="0.3">
      <c r="A317" t="s">
        <v>425</v>
      </c>
      <c r="B317" s="1">
        <v>45672</v>
      </c>
      <c r="C317" t="s">
        <v>252</v>
      </c>
      <c r="D317" t="s">
        <v>30</v>
      </c>
      <c r="E317">
        <v>3</v>
      </c>
      <c r="F317" s="2">
        <v>0.05</v>
      </c>
      <c r="G317" s="2" t="str">
        <f>_xlfn.XLOOKUP(D317,Products!$A$2:$A$11,Products!$B$2:$B$11)</f>
        <v>Wireless Mouse</v>
      </c>
      <c r="H317" s="2" t="str">
        <f>_xlfn.XLOOKUP(D317,Products!$A$2:$A$11,Products!$C$2:$C$11)</f>
        <v>Electronics</v>
      </c>
      <c r="I317" s="3">
        <f>_xlfn.XLOOKUP(D317,Products!$A$2:$A$11,Products!$D$2:$D$11)</f>
        <v>25</v>
      </c>
      <c r="J317" s="3" t="str">
        <f>_xlfn.XLOOKUP(C317,Customers!$A$2:$A$101,Customers!$B$2:$B$101)</f>
        <v>Customer 041</v>
      </c>
      <c r="K317" s="3" t="str">
        <f>_xlfn.XLOOKUP(C317,Customers!$A$2:$A$101,Customers!$C$2:$C$101)</f>
        <v>Manchester</v>
      </c>
      <c r="L317" s="3" t="str">
        <f>_xlfn.XLOOKUP(C317,Customers!$A$2:$A$101,Customers!$D$2:$D$101)</f>
        <v>Small Business</v>
      </c>
      <c r="M317" s="3">
        <f t="shared" si="9"/>
        <v>71.25</v>
      </c>
      <c r="N317" s="3">
        <f>E317*_xlfn.XLOOKUP(D317,Products!$A$2:$A$11,Products!$E$2:$E$11)</f>
        <v>36</v>
      </c>
      <c r="O317" s="3">
        <f t="shared" si="8"/>
        <v>35.25</v>
      </c>
    </row>
    <row r="318" spans="1:15" x14ac:dyDescent="0.3">
      <c r="A318" t="s">
        <v>426</v>
      </c>
      <c r="B318" s="1">
        <v>45728</v>
      </c>
      <c r="C318" t="s">
        <v>96</v>
      </c>
      <c r="D318" t="s">
        <v>60</v>
      </c>
      <c r="E318">
        <v>4</v>
      </c>
      <c r="F318" s="2">
        <v>0.05</v>
      </c>
      <c r="G318" s="2" t="str">
        <f>_xlfn.XLOOKUP(D318,Products!$A$2:$A$11,Products!$B$2:$B$11)</f>
        <v>Water Bottle</v>
      </c>
      <c r="H318" s="2" t="str">
        <f>_xlfn.XLOOKUP(D318,Products!$A$2:$A$11,Products!$C$2:$C$11)</f>
        <v>Lifestyle</v>
      </c>
      <c r="I318" s="3">
        <f>_xlfn.XLOOKUP(D318,Products!$A$2:$A$11,Products!$D$2:$D$11)</f>
        <v>18</v>
      </c>
      <c r="J318" s="3" t="str">
        <f>_xlfn.XLOOKUP(C318,Customers!$A$2:$A$101,Customers!$B$2:$B$101)</f>
        <v>Customer 005</v>
      </c>
      <c r="K318" s="3" t="str">
        <f>_xlfn.XLOOKUP(C318,Customers!$A$2:$A$101,Customers!$C$2:$C$101)</f>
        <v>Sheffield</v>
      </c>
      <c r="L318" s="3" t="str">
        <f>_xlfn.XLOOKUP(C318,Customers!$A$2:$A$101,Customers!$D$2:$D$101)</f>
        <v>Consumer</v>
      </c>
      <c r="M318" s="3">
        <f t="shared" si="9"/>
        <v>68.399999999999991</v>
      </c>
      <c r="N318" s="3">
        <f>E318*_xlfn.XLOOKUP(D318,Products!$A$2:$A$11,Products!$E$2:$E$11)</f>
        <v>28</v>
      </c>
      <c r="O318" s="3">
        <f t="shared" si="8"/>
        <v>40.399999999999991</v>
      </c>
    </row>
    <row r="319" spans="1:15" x14ac:dyDescent="0.3">
      <c r="A319" t="s">
        <v>427</v>
      </c>
      <c r="B319" s="1">
        <v>46019</v>
      </c>
      <c r="C319" t="s">
        <v>13</v>
      </c>
      <c r="D319" t="s">
        <v>33</v>
      </c>
      <c r="E319">
        <v>5</v>
      </c>
      <c r="F319" s="2">
        <v>0</v>
      </c>
      <c r="G319" s="2" t="str">
        <f>_xlfn.XLOOKUP(D319,Products!$A$2:$A$11,Products!$B$2:$B$11)</f>
        <v>Notebook Pack</v>
      </c>
      <c r="H319" s="2" t="str">
        <f>_xlfn.XLOOKUP(D319,Products!$A$2:$A$11,Products!$C$2:$C$11)</f>
        <v>Stationery</v>
      </c>
      <c r="I319" s="3">
        <f>_xlfn.XLOOKUP(D319,Products!$A$2:$A$11,Products!$D$2:$D$11)</f>
        <v>12</v>
      </c>
      <c r="J319" s="3" t="str">
        <f>_xlfn.XLOOKUP(C319,Customers!$A$2:$A$101,Customers!$B$2:$B$101)</f>
        <v>Customer 061</v>
      </c>
      <c r="K319" s="3" t="str">
        <f>_xlfn.XLOOKUP(C319,Customers!$A$2:$A$101,Customers!$C$2:$C$101)</f>
        <v>Leeds</v>
      </c>
      <c r="L319" s="3" t="str">
        <f>_xlfn.XLOOKUP(C319,Customers!$A$2:$A$101,Customers!$D$2:$D$101)</f>
        <v>Corporate</v>
      </c>
      <c r="M319" s="3">
        <f t="shared" si="9"/>
        <v>60</v>
      </c>
      <c r="N319" s="3">
        <f>E319*_xlfn.XLOOKUP(D319,Products!$A$2:$A$11,Products!$E$2:$E$11)</f>
        <v>25</v>
      </c>
      <c r="O319" s="3">
        <f t="shared" si="8"/>
        <v>35</v>
      </c>
    </row>
    <row r="320" spans="1:15" x14ac:dyDescent="0.3">
      <c r="A320" t="s">
        <v>428</v>
      </c>
      <c r="B320" s="1">
        <v>45698</v>
      </c>
      <c r="C320" t="s">
        <v>204</v>
      </c>
      <c r="D320" t="s">
        <v>60</v>
      </c>
      <c r="E320">
        <v>2</v>
      </c>
      <c r="F320" s="2">
        <v>0.05</v>
      </c>
      <c r="G320" s="2" t="str">
        <f>_xlfn.XLOOKUP(D320,Products!$A$2:$A$11,Products!$B$2:$B$11)</f>
        <v>Water Bottle</v>
      </c>
      <c r="H320" s="2" t="str">
        <f>_xlfn.XLOOKUP(D320,Products!$A$2:$A$11,Products!$C$2:$C$11)</f>
        <v>Lifestyle</v>
      </c>
      <c r="I320" s="3">
        <f>_xlfn.XLOOKUP(D320,Products!$A$2:$A$11,Products!$D$2:$D$11)</f>
        <v>18</v>
      </c>
      <c r="J320" s="3" t="str">
        <f>_xlfn.XLOOKUP(C320,Customers!$A$2:$A$101,Customers!$B$2:$B$101)</f>
        <v>Customer 003</v>
      </c>
      <c r="K320" s="3" t="str">
        <f>_xlfn.XLOOKUP(C320,Customers!$A$2:$A$101,Customers!$C$2:$C$101)</f>
        <v>Birmingham</v>
      </c>
      <c r="L320" s="3" t="str">
        <f>_xlfn.XLOOKUP(C320,Customers!$A$2:$A$101,Customers!$D$2:$D$101)</f>
        <v>Consumer</v>
      </c>
      <c r="M320" s="3">
        <f t="shared" si="9"/>
        <v>34.199999999999996</v>
      </c>
      <c r="N320" s="3">
        <f>E320*_xlfn.XLOOKUP(D320,Products!$A$2:$A$11,Products!$E$2:$E$11)</f>
        <v>14</v>
      </c>
      <c r="O320" s="3">
        <f t="shared" si="8"/>
        <v>20.199999999999996</v>
      </c>
    </row>
    <row r="321" spans="1:15" x14ac:dyDescent="0.3">
      <c r="A321" t="s">
        <v>429</v>
      </c>
      <c r="B321" s="1">
        <v>45938</v>
      </c>
      <c r="C321" t="s">
        <v>191</v>
      </c>
      <c r="D321" t="s">
        <v>8</v>
      </c>
      <c r="E321">
        <v>5</v>
      </c>
      <c r="F321" s="2">
        <v>0.15</v>
      </c>
      <c r="G321" s="2" t="str">
        <f>_xlfn.XLOOKUP(D321,Products!$A$2:$A$11,Products!$B$2:$B$11)</f>
        <v>USB-C Hub</v>
      </c>
      <c r="H321" s="2" t="str">
        <f>_xlfn.XLOOKUP(D321,Products!$A$2:$A$11,Products!$C$2:$C$11)</f>
        <v>Electronics</v>
      </c>
      <c r="I321" s="3">
        <f>_xlfn.XLOOKUP(D321,Products!$A$2:$A$11,Products!$D$2:$D$11)</f>
        <v>40</v>
      </c>
      <c r="J321" s="3" t="str">
        <f>_xlfn.XLOOKUP(C321,Customers!$A$2:$A$101,Customers!$B$2:$B$101)</f>
        <v>Customer 094</v>
      </c>
      <c r="K321" s="3" t="str">
        <f>_xlfn.XLOOKUP(C321,Customers!$A$2:$A$101,Customers!$C$2:$C$101)</f>
        <v>Manchester</v>
      </c>
      <c r="L321" s="3" t="str">
        <f>_xlfn.XLOOKUP(C321,Customers!$A$2:$A$101,Customers!$D$2:$D$101)</f>
        <v>Small Business</v>
      </c>
      <c r="M321" s="3">
        <f t="shared" si="9"/>
        <v>170</v>
      </c>
      <c r="N321" s="3">
        <f>E321*_xlfn.XLOOKUP(D321,Products!$A$2:$A$11,Products!$E$2:$E$11)</f>
        <v>95</v>
      </c>
      <c r="O321" s="3">
        <f t="shared" si="8"/>
        <v>75</v>
      </c>
    </row>
    <row r="322" spans="1:15" x14ac:dyDescent="0.3">
      <c r="A322" t="s">
        <v>430</v>
      </c>
      <c r="B322" s="1">
        <v>45714</v>
      </c>
      <c r="C322" t="s">
        <v>101</v>
      </c>
      <c r="D322" t="s">
        <v>60</v>
      </c>
      <c r="E322">
        <v>2</v>
      </c>
      <c r="F322" s="2">
        <v>0.1</v>
      </c>
      <c r="G322" s="2" t="str">
        <f>_xlfn.XLOOKUP(D322,Products!$A$2:$A$11,Products!$B$2:$B$11)</f>
        <v>Water Bottle</v>
      </c>
      <c r="H322" s="2" t="str">
        <f>_xlfn.XLOOKUP(D322,Products!$A$2:$A$11,Products!$C$2:$C$11)</f>
        <v>Lifestyle</v>
      </c>
      <c r="I322" s="3">
        <f>_xlfn.XLOOKUP(D322,Products!$A$2:$A$11,Products!$D$2:$D$11)</f>
        <v>18</v>
      </c>
      <c r="J322" s="3" t="str">
        <f>_xlfn.XLOOKUP(C322,Customers!$A$2:$A$101,Customers!$B$2:$B$101)</f>
        <v>Customer 100</v>
      </c>
      <c r="K322" s="3" t="str">
        <f>_xlfn.XLOOKUP(C322,Customers!$A$2:$A$101,Customers!$C$2:$C$101)</f>
        <v>Birmingham</v>
      </c>
      <c r="L322" s="3" t="str">
        <f>_xlfn.XLOOKUP(C322,Customers!$A$2:$A$101,Customers!$D$2:$D$101)</f>
        <v>Consumer</v>
      </c>
      <c r="M322" s="3">
        <f t="shared" si="9"/>
        <v>32.4</v>
      </c>
      <c r="N322" s="3">
        <f>E322*_xlfn.XLOOKUP(D322,Products!$A$2:$A$11,Products!$E$2:$E$11)</f>
        <v>14</v>
      </c>
      <c r="O322" s="3">
        <f t="shared" si="8"/>
        <v>18.399999999999999</v>
      </c>
    </row>
    <row r="323" spans="1:15" x14ac:dyDescent="0.3">
      <c r="A323" t="s">
        <v>431</v>
      </c>
      <c r="B323" s="1">
        <v>45720</v>
      </c>
      <c r="C323" t="s">
        <v>64</v>
      </c>
      <c r="D323" t="s">
        <v>22</v>
      </c>
      <c r="E323">
        <v>4</v>
      </c>
      <c r="F323" s="2">
        <v>0.15</v>
      </c>
      <c r="G323" s="2" t="str">
        <f>_xlfn.XLOOKUP(D323,Products!$A$2:$A$11,Products!$B$2:$B$11)</f>
        <v>Desk Lamp</v>
      </c>
      <c r="H323" s="2" t="str">
        <f>_xlfn.XLOOKUP(D323,Products!$A$2:$A$11,Products!$C$2:$C$11)</f>
        <v>Office</v>
      </c>
      <c r="I323" s="3">
        <f>_xlfn.XLOOKUP(D323,Products!$A$2:$A$11,Products!$D$2:$D$11)</f>
        <v>30</v>
      </c>
      <c r="J323" s="3" t="str">
        <f>_xlfn.XLOOKUP(C323,Customers!$A$2:$A$101,Customers!$B$2:$B$101)</f>
        <v>Customer 007</v>
      </c>
      <c r="K323" s="3" t="str">
        <f>_xlfn.XLOOKUP(C323,Customers!$A$2:$A$101,Customers!$C$2:$C$101)</f>
        <v>Bristol</v>
      </c>
      <c r="L323" s="3" t="str">
        <f>_xlfn.XLOOKUP(C323,Customers!$A$2:$A$101,Customers!$D$2:$D$101)</f>
        <v>Consumer</v>
      </c>
      <c r="M323" s="3">
        <f t="shared" si="9"/>
        <v>102</v>
      </c>
      <c r="N323" s="3">
        <f>E323*_xlfn.XLOOKUP(D323,Products!$A$2:$A$11,Products!$E$2:$E$11)</f>
        <v>60</v>
      </c>
      <c r="O323" s="3">
        <f t="shared" ref="O323:O386" si="10">M323-N323</f>
        <v>42</v>
      </c>
    </row>
    <row r="324" spans="1:15" x14ac:dyDescent="0.3">
      <c r="A324" t="s">
        <v>432</v>
      </c>
      <c r="B324" s="1">
        <v>45690</v>
      </c>
      <c r="C324" t="s">
        <v>113</v>
      </c>
      <c r="D324" t="s">
        <v>33</v>
      </c>
      <c r="E324">
        <v>5</v>
      </c>
      <c r="F324" s="2">
        <v>0</v>
      </c>
      <c r="G324" s="2" t="str">
        <f>_xlfn.XLOOKUP(D324,Products!$A$2:$A$11,Products!$B$2:$B$11)</f>
        <v>Notebook Pack</v>
      </c>
      <c r="H324" s="2" t="str">
        <f>_xlfn.XLOOKUP(D324,Products!$A$2:$A$11,Products!$C$2:$C$11)</f>
        <v>Stationery</v>
      </c>
      <c r="I324" s="3">
        <f>_xlfn.XLOOKUP(D324,Products!$A$2:$A$11,Products!$D$2:$D$11)</f>
        <v>12</v>
      </c>
      <c r="J324" s="3" t="str">
        <f>_xlfn.XLOOKUP(C324,Customers!$A$2:$A$101,Customers!$B$2:$B$101)</f>
        <v>Customer 015</v>
      </c>
      <c r="K324" s="3" t="str">
        <f>_xlfn.XLOOKUP(C324,Customers!$A$2:$A$101,Customers!$C$2:$C$101)</f>
        <v>Sheffield</v>
      </c>
      <c r="L324" s="3" t="str">
        <f>_xlfn.XLOOKUP(C324,Customers!$A$2:$A$101,Customers!$D$2:$D$101)</f>
        <v>Corporate</v>
      </c>
      <c r="M324" s="3">
        <f t="shared" ref="M324:M387" si="11">E324*I324*(1-F324)</f>
        <v>60</v>
      </c>
      <c r="N324" s="3">
        <f>E324*_xlfn.XLOOKUP(D324,Products!$A$2:$A$11,Products!$E$2:$E$11)</f>
        <v>25</v>
      </c>
      <c r="O324" s="3">
        <f t="shared" si="10"/>
        <v>35</v>
      </c>
    </row>
    <row r="325" spans="1:15" x14ac:dyDescent="0.3">
      <c r="A325" t="s">
        <v>433</v>
      </c>
      <c r="B325" s="1">
        <v>45981</v>
      </c>
      <c r="C325" t="s">
        <v>66</v>
      </c>
      <c r="D325" t="s">
        <v>8</v>
      </c>
      <c r="E325">
        <v>2</v>
      </c>
      <c r="F325" s="2">
        <v>0.05</v>
      </c>
      <c r="G325" s="2" t="str">
        <f>_xlfn.XLOOKUP(D325,Products!$A$2:$A$11,Products!$B$2:$B$11)</f>
        <v>USB-C Hub</v>
      </c>
      <c r="H325" s="2" t="str">
        <f>_xlfn.XLOOKUP(D325,Products!$A$2:$A$11,Products!$C$2:$C$11)</f>
        <v>Electronics</v>
      </c>
      <c r="I325" s="3">
        <f>_xlfn.XLOOKUP(D325,Products!$A$2:$A$11,Products!$D$2:$D$11)</f>
        <v>40</v>
      </c>
      <c r="J325" s="3" t="str">
        <f>_xlfn.XLOOKUP(C325,Customers!$A$2:$A$101,Customers!$B$2:$B$101)</f>
        <v>Customer 066</v>
      </c>
      <c r="K325" s="3" t="str">
        <f>_xlfn.XLOOKUP(C325,Customers!$A$2:$A$101,Customers!$C$2:$C$101)</f>
        <v>Birmingham</v>
      </c>
      <c r="L325" s="3" t="str">
        <f>_xlfn.XLOOKUP(C325,Customers!$A$2:$A$101,Customers!$D$2:$D$101)</f>
        <v>Corporate</v>
      </c>
      <c r="M325" s="3">
        <f t="shared" si="11"/>
        <v>76</v>
      </c>
      <c r="N325" s="3">
        <f>E325*_xlfn.XLOOKUP(D325,Products!$A$2:$A$11,Products!$E$2:$E$11)</f>
        <v>38</v>
      </c>
      <c r="O325" s="3">
        <f t="shared" si="10"/>
        <v>38</v>
      </c>
    </row>
    <row r="326" spans="1:15" x14ac:dyDescent="0.3">
      <c r="A326" t="s">
        <v>434</v>
      </c>
      <c r="B326" s="1">
        <v>45807</v>
      </c>
      <c r="C326" t="s">
        <v>39</v>
      </c>
      <c r="D326" t="s">
        <v>27</v>
      </c>
      <c r="E326">
        <v>5</v>
      </c>
      <c r="F326" s="2">
        <v>0.1</v>
      </c>
      <c r="G326" s="2" t="str">
        <f>_xlfn.XLOOKUP(D326,Products!$A$2:$A$11,Products!$B$2:$B$11)</f>
        <v>Laptop Stand</v>
      </c>
      <c r="H326" s="2" t="str">
        <f>_xlfn.XLOOKUP(D326,Products!$A$2:$A$11,Products!$C$2:$C$11)</f>
        <v>Office</v>
      </c>
      <c r="I326" s="3">
        <f>_xlfn.XLOOKUP(D326,Products!$A$2:$A$11,Products!$D$2:$D$11)</f>
        <v>35</v>
      </c>
      <c r="J326" s="3" t="str">
        <f>_xlfn.XLOOKUP(C326,Customers!$A$2:$A$101,Customers!$B$2:$B$101)</f>
        <v>Customer 055</v>
      </c>
      <c r="K326" s="3" t="str">
        <f>_xlfn.XLOOKUP(C326,Customers!$A$2:$A$101,Customers!$C$2:$C$101)</f>
        <v>London</v>
      </c>
      <c r="L326" s="3" t="str">
        <f>_xlfn.XLOOKUP(C326,Customers!$A$2:$A$101,Customers!$D$2:$D$101)</f>
        <v>Small Business</v>
      </c>
      <c r="M326" s="3">
        <f t="shared" si="11"/>
        <v>157.5</v>
      </c>
      <c r="N326" s="3">
        <f>E326*_xlfn.XLOOKUP(D326,Products!$A$2:$A$11,Products!$E$2:$E$11)</f>
        <v>100</v>
      </c>
      <c r="O326" s="3">
        <f t="shared" si="10"/>
        <v>57.5</v>
      </c>
    </row>
    <row r="327" spans="1:15" x14ac:dyDescent="0.3">
      <c r="A327" t="s">
        <v>435</v>
      </c>
      <c r="B327" s="1">
        <v>45781</v>
      </c>
      <c r="C327" t="s">
        <v>35</v>
      </c>
      <c r="D327" t="s">
        <v>16</v>
      </c>
      <c r="E327">
        <v>2</v>
      </c>
      <c r="F327" s="2">
        <v>0</v>
      </c>
      <c r="G327" s="2" t="str">
        <f>_xlfn.XLOOKUP(D327,Products!$A$2:$A$11,Products!$B$2:$B$11)</f>
        <v>Headphones</v>
      </c>
      <c r="H327" s="2" t="str">
        <f>_xlfn.XLOOKUP(D327,Products!$A$2:$A$11,Products!$C$2:$C$11)</f>
        <v>Electronics</v>
      </c>
      <c r="I327" s="3">
        <f>_xlfn.XLOOKUP(D327,Products!$A$2:$A$11,Products!$D$2:$D$11)</f>
        <v>75</v>
      </c>
      <c r="J327" s="3" t="str">
        <f>_xlfn.XLOOKUP(C327,Customers!$A$2:$A$101,Customers!$B$2:$B$101)</f>
        <v>Customer 074</v>
      </c>
      <c r="K327" s="3" t="str">
        <f>_xlfn.XLOOKUP(C327,Customers!$A$2:$A$101,Customers!$C$2:$C$101)</f>
        <v>Manchester</v>
      </c>
      <c r="L327" s="3" t="str">
        <f>_xlfn.XLOOKUP(C327,Customers!$A$2:$A$101,Customers!$D$2:$D$101)</f>
        <v>Corporate</v>
      </c>
      <c r="M327" s="3">
        <f t="shared" si="11"/>
        <v>150</v>
      </c>
      <c r="N327" s="3">
        <f>E327*_xlfn.XLOOKUP(D327,Products!$A$2:$A$11,Products!$E$2:$E$11)</f>
        <v>80</v>
      </c>
      <c r="O327" s="3">
        <f t="shared" si="10"/>
        <v>70</v>
      </c>
    </row>
    <row r="328" spans="1:15" x14ac:dyDescent="0.3">
      <c r="A328" t="s">
        <v>436</v>
      </c>
      <c r="B328" s="1">
        <v>45926</v>
      </c>
      <c r="C328" t="s">
        <v>323</v>
      </c>
      <c r="D328" t="s">
        <v>30</v>
      </c>
      <c r="E328">
        <v>5</v>
      </c>
      <c r="F328" s="2">
        <v>0</v>
      </c>
      <c r="G328" s="2" t="str">
        <f>_xlfn.XLOOKUP(D328,Products!$A$2:$A$11,Products!$B$2:$B$11)</f>
        <v>Wireless Mouse</v>
      </c>
      <c r="H328" s="2" t="str">
        <f>_xlfn.XLOOKUP(D328,Products!$A$2:$A$11,Products!$C$2:$C$11)</f>
        <v>Electronics</v>
      </c>
      <c r="I328" s="3">
        <f>_xlfn.XLOOKUP(D328,Products!$A$2:$A$11,Products!$D$2:$D$11)</f>
        <v>25</v>
      </c>
      <c r="J328" s="3" t="str">
        <f>_xlfn.XLOOKUP(C328,Customers!$A$2:$A$101,Customers!$B$2:$B$101)</f>
        <v>Customer 047</v>
      </c>
      <c r="K328" s="3" t="str">
        <f>_xlfn.XLOOKUP(C328,Customers!$A$2:$A$101,Customers!$C$2:$C$101)</f>
        <v>Manchester</v>
      </c>
      <c r="L328" s="3" t="str">
        <f>_xlfn.XLOOKUP(C328,Customers!$A$2:$A$101,Customers!$D$2:$D$101)</f>
        <v>Corporate</v>
      </c>
      <c r="M328" s="3">
        <f t="shared" si="11"/>
        <v>125</v>
      </c>
      <c r="N328" s="3">
        <f>E328*_xlfn.XLOOKUP(D328,Products!$A$2:$A$11,Products!$E$2:$E$11)</f>
        <v>60</v>
      </c>
      <c r="O328" s="3">
        <f t="shared" si="10"/>
        <v>65</v>
      </c>
    </row>
    <row r="329" spans="1:15" x14ac:dyDescent="0.3">
      <c r="A329" t="s">
        <v>437</v>
      </c>
      <c r="B329" s="1">
        <v>45857</v>
      </c>
      <c r="C329" t="s">
        <v>13</v>
      </c>
      <c r="D329" t="s">
        <v>27</v>
      </c>
      <c r="E329">
        <v>4</v>
      </c>
      <c r="F329" s="2">
        <v>0.1</v>
      </c>
      <c r="G329" s="2" t="str">
        <f>_xlfn.XLOOKUP(D329,Products!$A$2:$A$11,Products!$B$2:$B$11)</f>
        <v>Laptop Stand</v>
      </c>
      <c r="H329" s="2" t="str">
        <f>_xlfn.XLOOKUP(D329,Products!$A$2:$A$11,Products!$C$2:$C$11)</f>
        <v>Office</v>
      </c>
      <c r="I329" s="3">
        <f>_xlfn.XLOOKUP(D329,Products!$A$2:$A$11,Products!$D$2:$D$11)</f>
        <v>35</v>
      </c>
      <c r="J329" s="3" t="str">
        <f>_xlfn.XLOOKUP(C329,Customers!$A$2:$A$101,Customers!$B$2:$B$101)</f>
        <v>Customer 061</v>
      </c>
      <c r="K329" s="3" t="str">
        <f>_xlfn.XLOOKUP(C329,Customers!$A$2:$A$101,Customers!$C$2:$C$101)</f>
        <v>Leeds</v>
      </c>
      <c r="L329" s="3" t="str">
        <f>_xlfn.XLOOKUP(C329,Customers!$A$2:$A$101,Customers!$D$2:$D$101)</f>
        <v>Corporate</v>
      </c>
      <c r="M329" s="3">
        <f t="shared" si="11"/>
        <v>126</v>
      </c>
      <c r="N329" s="3">
        <f>E329*_xlfn.XLOOKUP(D329,Products!$A$2:$A$11,Products!$E$2:$E$11)</f>
        <v>80</v>
      </c>
      <c r="O329" s="3">
        <f t="shared" si="10"/>
        <v>46</v>
      </c>
    </row>
    <row r="330" spans="1:15" x14ac:dyDescent="0.3">
      <c r="A330" t="s">
        <v>438</v>
      </c>
      <c r="B330" s="1">
        <v>45787</v>
      </c>
      <c r="C330" t="s">
        <v>86</v>
      </c>
      <c r="D330" t="s">
        <v>27</v>
      </c>
      <c r="E330">
        <v>3</v>
      </c>
      <c r="F330" s="2">
        <v>0</v>
      </c>
      <c r="G330" s="2" t="str">
        <f>_xlfn.XLOOKUP(D330,Products!$A$2:$A$11,Products!$B$2:$B$11)</f>
        <v>Laptop Stand</v>
      </c>
      <c r="H330" s="2" t="str">
        <f>_xlfn.XLOOKUP(D330,Products!$A$2:$A$11,Products!$C$2:$C$11)</f>
        <v>Office</v>
      </c>
      <c r="I330" s="3">
        <f>_xlfn.XLOOKUP(D330,Products!$A$2:$A$11,Products!$D$2:$D$11)</f>
        <v>35</v>
      </c>
      <c r="J330" s="3" t="str">
        <f>_xlfn.XLOOKUP(C330,Customers!$A$2:$A$101,Customers!$B$2:$B$101)</f>
        <v>Customer 096</v>
      </c>
      <c r="K330" s="3" t="str">
        <f>_xlfn.XLOOKUP(C330,Customers!$A$2:$A$101,Customers!$C$2:$C$101)</f>
        <v>Bristol</v>
      </c>
      <c r="L330" s="3" t="str">
        <f>_xlfn.XLOOKUP(C330,Customers!$A$2:$A$101,Customers!$D$2:$D$101)</f>
        <v>Consumer</v>
      </c>
      <c r="M330" s="3">
        <f t="shared" si="11"/>
        <v>105</v>
      </c>
      <c r="N330" s="3">
        <f>E330*_xlfn.XLOOKUP(D330,Products!$A$2:$A$11,Products!$E$2:$E$11)</f>
        <v>60</v>
      </c>
      <c r="O330" s="3">
        <f t="shared" si="10"/>
        <v>45</v>
      </c>
    </row>
    <row r="331" spans="1:15" x14ac:dyDescent="0.3">
      <c r="A331" t="s">
        <v>439</v>
      </c>
      <c r="B331" s="1">
        <v>45834</v>
      </c>
      <c r="C331" t="s">
        <v>7</v>
      </c>
      <c r="D331" t="s">
        <v>30</v>
      </c>
      <c r="E331">
        <v>5</v>
      </c>
      <c r="F331" s="2">
        <v>0.1</v>
      </c>
      <c r="G331" s="2" t="str">
        <f>_xlfn.XLOOKUP(D331,Products!$A$2:$A$11,Products!$B$2:$B$11)</f>
        <v>Wireless Mouse</v>
      </c>
      <c r="H331" s="2" t="str">
        <f>_xlfn.XLOOKUP(D331,Products!$A$2:$A$11,Products!$C$2:$C$11)</f>
        <v>Electronics</v>
      </c>
      <c r="I331" s="3">
        <f>_xlfn.XLOOKUP(D331,Products!$A$2:$A$11,Products!$D$2:$D$11)</f>
        <v>25</v>
      </c>
      <c r="J331" s="3" t="str">
        <f>_xlfn.XLOOKUP(C331,Customers!$A$2:$A$101,Customers!$B$2:$B$101)</f>
        <v>Customer 031</v>
      </c>
      <c r="K331" s="3" t="str">
        <f>_xlfn.XLOOKUP(C331,Customers!$A$2:$A$101,Customers!$C$2:$C$101)</f>
        <v>Birmingham</v>
      </c>
      <c r="L331" s="3" t="str">
        <f>_xlfn.XLOOKUP(C331,Customers!$A$2:$A$101,Customers!$D$2:$D$101)</f>
        <v>Corporate</v>
      </c>
      <c r="M331" s="3">
        <f t="shared" si="11"/>
        <v>112.5</v>
      </c>
      <c r="N331" s="3">
        <f>E331*_xlfn.XLOOKUP(D331,Products!$A$2:$A$11,Products!$E$2:$E$11)</f>
        <v>60</v>
      </c>
      <c r="O331" s="3">
        <f t="shared" si="10"/>
        <v>52.5</v>
      </c>
    </row>
    <row r="332" spans="1:15" x14ac:dyDescent="0.3">
      <c r="A332" t="s">
        <v>440</v>
      </c>
      <c r="B332" s="1">
        <v>45726</v>
      </c>
      <c r="C332" t="s">
        <v>173</v>
      </c>
      <c r="D332" t="s">
        <v>19</v>
      </c>
      <c r="E332">
        <v>5</v>
      </c>
      <c r="F332" s="2">
        <v>0.1</v>
      </c>
      <c r="G332" s="2" t="str">
        <f>_xlfn.XLOOKUP(D332,Products!$A$2:$A$11,Products!$B$2:$B$11)</f>
        <v>Backpack</v>
      </c>
      <c r="H332" s="2" t="str">
        <f>_xlfn.XLOOKUP(D332,Products!$A$2:$A$11,Products!$C$2:$C$11)</f>
        <v>Lifestyle</v>
      </c>
      <c r="I332" s="3">
        <f>_xlfn.XLOOKUP(D332,Products!$A$2:$A$11,Products!$D$2:$D$11)</f>
        <v>55</v>
      </c>
      <c r="J332" s="3" t="str">
        <f>_xlfn.XLOOKUP(C332,Customers!$A$2:$A$101,Customers!$B$2:$B$101)</f>
        <v>Customer 006</v>
      </c>
      <c r="K332" s="3" t="str">
        <f>_xlfn.XLOOKUP(C332,Customers!$A$2:$A$101,Customers!$C$2:$C$101)</f>
        <v>Sheffield</v>
      </c>
      <c r="L332" s="3" t="str">
        <f>_xlfn.XLOOKUP(C332,Customers!$A$2:$A$101,Customers!$D$2:$D$101)</f>
        <v>Corporate</v>
      </c>
      <c r="M332" s="3">
        <f t="shared" si="11"/>
        <v>247.5</v>
      </c>
      <c r="N332" s="3">
        <f>E332*_xlfn.XLOOKUP(D332,Products!$A$2:$A$11,Products!$E$2:$E$11)</f>
        <v>135</v>
      </c>
      <c r="O332" s="3">
        <f t="shared" si="10"/>
        <v>112.5</v>
      </c>
    </row>
    <row r="333" spans="1:15" x14ac:dyDescent="0.3">
      <c r="A333" t="s">
        <v>441</v>
      </c>
      <c r="B333" s="1">
        <v>45987</v>
      </c>
      <c r="C333" t="s">
        <v>442</v>
      </c>
      <c r="D333" t="s">
        <v>33</v>
      </c>
      <c r="E333">
        <v>4</v>
      </c>
      <c r="F333" s="2">
        <v>0.05</v>
      </c>
      <c r="G333" s="2" t="str">
        <f>_xlfn.XLOOKUP(D333,Products!$A$2:$A$11,Products!$B$2:$B$11)</f>
        <v>Notebook Pack</v>
      </c>
      <c r="H333" s="2" t="str">
        <f>_xlfn.XLOOKUP(D333,Products!$A$2:$A$11,Products!$C$2:$C$11)</f>
        <v>Stationery</v>
      </c>
      <c r="I333" s="3">
        <f>_xlfn.XLOOKUP(D333,Products!$A$2:$A$11,Products!$D$2:$D$11)</f>
        <v>12</v>
      </c>
      <c r="J333" s="3" t="str">
        <f>_xlfn.XLOOKUP(C333,Customers!$A$2:$A$101,Customers!$B$2:$B$101)</f>
        <v>Customer 023</v>
      </c>
      <c r="K333" s="3" t="str">
        <f>_xlfn.XLOOKUP(C333,Customers!$A$2:$A$101,Customers!$C$2:$C$101)</f>
        <v>London</v>
      </c>
      <c r="L333" s="3" t="str">
        <f>_xlfn.XLOOKUP(C333,Customers!$A$2:$A$101,Customers!$D$2:$D$101)</f>
        <v>Consumer</v>
      </c>
      <c r="M333" s="3">
        <f t="shared" si="11"/>
        <v>45.599999999999994</v>
      </c>
      <c r="N333" s="3">
        <f>E333*_xlfn.XLOOKUP(D333,Products!$A$2:$A$11,Products!$E$2:$E$11)</f>
        <v>20</v>
      </c>
      <c r="O333" s="3">
        <f t="shared" si="10"/>
        <v>25.599999999999994</v>
      </c>
    </row>
    <row r="334" spans="1:15" x14ac:dyDescent="0.3">
      <c r="A334" t="s">
        <v>443</v>
      </c>
      <c r="B334" s="1">
        <v>45727</v>
      </c>
      <c r="C334" t="s">
        <v>10</v>
      </c>
      <c r="D334" t="s">
        <v>33</v>
      </c>
      <c r="E334">
        <v>1</v>
      </c>
      <c r="F334" s="2">
        <v>0.1</v>
      </c>
      <c r="G334" s="2" t="str">
        <f>_xlfn.XLOOKUP(D334,Products!$A$2:$A$11,Products!$B$2:$B$11)</f>
        <v>Notebook Pack</v>
      </c>
      <c r="H334" s="2" t="str">
        <f>_xlfn.XLOOKUP(D334,Products!$A$2:$A$11,Products!$C$2:$C$11)</f>
        <v>Stationery</v>
      </c>
      <c r="I334" s="3">
        <f>_xlfn.XLOOKUP(D334,Products!$A$2:$A$11,Products!$D$2:$D$11)</f>
        <v>12</v>
      </c>
      <c r="J334" s="3" t="str">
        <f>_xlfn.XLOOKUP(C334,Customers!$A$2:$A$101,Customers!$B$2:$B$101)</f>
        <v>Customer 009</v>
      </c>
      <c r="K334" s="3" t="str">
        <f>_xlfn.XLOOKUP(C334,Customers!$A$2:$A$101,Customers!$C$2:$C$101)</f>
        <v>London</v>
      </c>
      <c r="L334" s="3" t="str">
        <f>_xlfn.XLOOKUP(C334,Customers!$A$2:$A$101,Customers!$D$2:$D$101)</f>
        <v>Consumer</v>
      </c>
      <c r="M334" s="3">
        <f t="shared" si="11"/>
        <v>10.8</v>
      </c>
      <c r="N334" s="3">
        <f>E334*_xlfn.XLOOKUP(D334,Products!$A$2:$A$11,Products!$E$2:$E$11)</f>
        <v>5</v>
      </c>
      <c r="O334" s="3">
        <f t="shared" si="10"/>
        <v>5.8000000000000007</v>
      </c>
    </row>
    <row r="335" spans="1:15" x14ac:dyDescent="0.3">
      <c r="A335" t="s">
        <v>444</v>
      </c>
      <c r="B335" s="1">
        <v>45761</v>
      </c>
      <c r="C335" t="s">
        <v>173</v>
      </c>
      <c r="D335" t="s">
        <v>22</v>
      </c>
      <c r="E335">
        <v>1</v>
      </c>
      <c r="F335" s="2">
        <v>0.1</v>
      </c>
      <c r="G335" s="2" t="str">
        <f>_xlfn.XLOOKUP(D335,Products!$A$2:$A$11,Products!$B$2:$B$11)</f>
        <v>Desk Lamp</v>
      </c>
      <c r="H335" s="2" t="str">
        <f>_xlfn.XLOOKUP(D335,Products!$A$2:$A$11,Products!$C$2:$C$11)</f>
        <v>Office</v>
      </c>
      <c r="I335" s="3">
        <f>_xlfn.XLOOKUP(D335,Products!$A$2:$A$11,Products!$D$2:$D$11)</f>
        <v>30</v>
      </c>
      <c r="J335" s="3" t="str">
        <f>_xlfn.XLOOKUP(C335,Customers!$A$2:$A$101,Customers!$B$2:$B$101)</f>
        <v>Customer 006</v>
      </c>
      <c r="K335" s="3" t="str">
        <f>_xlfn.XLOOKUP(C335,Customers!$A$2:$A$101,Customers!$C$2:$C$101)</f>
        <v>Sheffield</v>
      </c>
      <c r="L335" s="3" t="str">
        <f>_xlfn.XLOOKUP(C335,Customers!$A$2:$A$101,Customers!$D$2:$D$101)</f>
        <v>Corporate</v>
      </c>
      <c r="M335" s="3">
        <f t="shared" si="11"/>
        <v>27</v>
      </c>
      <c r="N335" s="3">
        <f>E335*_xlfn.XLOOKUP(D335,Products!$A$2:$A$11,Products!$E$2:$E$11)</f>
        <v>15</v>
      </c>
      <c r="O335" s="3">
        <f t="shared" si="10"/>
        <v>12</v>
      </c>
    </row>
    <row r="336" spans="1:15" x14ac:dyDescent="0.3">
      <c r="A336" t="s">
        <v>445</v>
      </c>
      <c r="B336" s="1">
        <v>45816</v>
      </c>
      <c r="C336" t="s">
        <v>66</v>
      </c>
      <c r="D336" t="s">
        <v>16</v>
      </c>
      <c r="E336">
        <v>5</v>
      </c>
      <c r="F336" s="2">
        <v>0.15</v>
      </c>
      <c r="G336" s="2" t="str">
        <f>_xlfn.XLOOKUP(D336,Products!$A$2:$A$11,Products!$B$2:$B$11)</f>
        <v>Headphones</v>
      </c>
      <c r="H336" s="2" t="str">
        <f>_xlfn.XLOOKUP(D336,Products!$A$2:$A$11,Products!$C$2:$C$11)</f>
        <v>Electronics</v>
      </c>
      <c r="I336" s="3">
        <f>_xlfn.XLOOKUP(D336,Products!$A$2:$A$11,Products!$D$2:$D$11)</f>
        <v>75</v>
      </c>
      <c r="J336" s="3" t="str">
        <f>_xlfn.XLOOKUP(C336,Customers!$A$2:$A$101,Customers!$B$2:$B$101)</f>
        <v>Customer 066</v>
      </c>
      <c r="K336" s="3" t="str">
        <f>_xlfn.XLOOKUP(C336,Customers!$A$2:$A$101,Customers!$C$2:$C$101)</f>
        <v>Birmingham</v>
      </c>
      <c r="L336" s="3" t="str">
        <f>_xlfn.XLOOKUP(C336,Customers!$A$2:$A$101,Customers!$D$2:$D$101)</f>
        <v>Corporate</v>
      </c>
      <c r="M336" s="3">
        <f t="shared" si="11"/>
        <v>318.75</v>
      </c>
      <c r="N336" s="3">
        <f>E336*_xlfn.XLOOKUP(D336,Products!$A$2:$A$11,Products!$E$2:$E$11)</f>
        <v>200</v>
      </c>
      <c r="O336" s="3">
        <f t="shared" si="10"/>
        <v>118.75</v>
      </c>
    </row>
    <row r="337" spans="1:15" x14ac:dyDescent="0.3">
      <c r="A337" t="s">
        <v>446</v>
      </c>
      <c r="B337" s="1">
        <v>45787</v>
      </c>
      <c r="C337" t="s">
        <v>96</v>
      </c>
      <c r="D337" t="s">
        <v>22</v>
      </c>
      <c r="E337">
        <v>3</v>
      </c>
      <c r="F337" s="2">
        <v>0.1</v>
      </c>
      <c r="G337" s="2" t="str">
        <f>_xlfn.XLOOKUP(D337,Products!$A$2:$A$11,Products!$B$2:$B$11)</f>
        <v>Desk Lamp</v>
      </c>
      <c r="H337" s="2" t="str">
        <f>_xlfn.XLOOKUP(D337,Products!$A$2:$A$11,Products!$C$2:$C$11)</f>
        <v>Office</v>
      </c>
      <c r="I337" s="3">
        <f>_xlfn.XLOOKUP(D337,Products!$A$2:$A$11,Products!$D$2:$D$11)</f>
        <v>30</v>
      </c>
      <c r="J337" s="3" t="str">
        <f>_xlfn.XLOOKUP(C337,Customers!$A$2:$A$101,Customers!$B$2:$B$101)</f>
        <v>Customer 005</v>
      </c>
      <c r="K337" s="3" t="str">
        <f>_xlfn.XLOOKUP(C337,Customers!$A$2:$A$101,Customers!$C$2:$C$101)</f>
        <v>Sheffield</v>
      </c>
      <c r="L337" s="3" t="str">
        <f>_xlfn.XLOOKUP(C337,Customers!$A$2:$A$101,Customers!$D$2:$D$101)</f>
        <v>Consumer</v>
      </c>
      <c r="M337" s="3">
        <f t="shared" si="11"/>
        <v>81</v>
      </c>
      <c r="N337" s="3">
        <f>E337*_xlfn.XLOOKUP(D337,Products!$A$2:$A$11,Products!$E$2:$E$11)</f>
        <v>45</v>
      </c>
      <c r="O337" s="3">
        <f t="shared" si="10"/>
        <v>36</v>
      </c>
    </row>
    <row r="338" spans="1:15" x14ac:dyDescent="0.3">
      <c r="A338" t="s">
        <v>447</v>
      </c>
      <c r="B338" s="1">
        <v>45682</v>
      </c>
      <c r="C338" t="s">
        <v>41</v>
      </c>
      <c r="D338" t="s">
        <v>19</v>
      </c>
      <c r="E338">
        <v>3</v>
      </c>
      <c r="F338" s="2">
        <v>0</v>
      </c>
      <c r="G338" s="2" t="str">
        <f>_xlfn.XLOOKUP(D338,Products!$A$2:$A$11,Products!$B$2:$B$11)</f>
        <v>Backpack</v>
      </c>
      <c r="H338" s="2" t="str">
        <f>_xlfn.XLOOKUP(D338,Products!$A$2:$A$11,Products!$C$2:$C$11)</f>
        <v>Lifestyle</v>
      </c>
      <c r="I338" s="3">
        <f>_xlfn.XLOOKUP(D338,Products!$A$2:$A$11,Products!$D$2:$D$11)</f>
        <v>55</v>
      </c>
      <c r="J338" s="3" t="str">
        <f>_xlfn.XLOOKUP(C338,Customers!$A$2:$A$101,Customers!$B$2:$B$101)</f>
        <v>Customer 084</v>
      </c>
      <c r="K338" s="3" t="str">
        <f>_xlfn.XLOOKUP(C338,Customers!$A$2:$A$101,Customers!$C$2:$C$101)</f>
        <v>Birmingham</v>
      </c>
      <c r="L338" s="3" t="str">
        <f>_xlfn.XLOOKUP(C338,Customers!$A$2:$A$101,Customers!$D$2:$D$101)</f>
        <v>Consumer</v>
      </c>
      <c r="M338" s="3">
        <f t="shared" si="11"/>
        <v>165</v>
      </c>
      <c r="N338" s="3">
        <f>E338*_xlfn.XLOOKUP(D338,Products!$A$2:$A$11,Products!$E$2:$E$11)</f>
        <v>81</v>
      </c>
      <c r="O338" s="3">
        <f t="shared" si="10"/>
        <v>84</v>
      </c>
    </row>
    <row r="339" spans="1:15" x14ac:dyDescent="0.3">
      <c r="A339" t="s">
        <v>448</v>
      </c>
      <c r="B339" s="1">
        <v>45846</v>
      </c>
      <c r="C339" t="s">
        <v>116</v>
      </c>
      <c r="D339" t="s">
        <v>16</v>
      </c>
      <c r="E339">
        <v>4</v>
      </c>
      <c r="F339" s="2">
        <v>0.15</v>
      </c>
      <c r="G339" s="2" t="str">
        <f>_xlfn.XLOOKUP(D339,Products!$A$2:$A$11,Products!$B$2:$B$11)</f>
        <v>Headphones</v>
      </c>
      <c r="H339" s="2" t="str">
        <f>_xlfn.XLOOKUP(D339,Products!$A$2:$A$11,Products!$C$2:$C$11)</f>
        <v>Electronics</v>
      </c>
      <c r="I339" s="3">
        <f>_xlfn.XLOOKUP(D339,Products!$A$2:$A$11,Products!$D$2:$D$11)</f>
        <v>75</v>
      </c>
      <c r="J339" s="3" t="str">
        <f>_xlfn.XLOOKUP(C339,Customers!$A$2:$A$101,Customers!$B$2:$B$101)</f>
        <v>Customer 056</v>
      </c>
      <c r="K339" s="3" t="str">
        <f>_xlfn.XLOOKUP(C339,Customers!$A$2:$A$101,Customers!$C$2:$C$101)</f>
        <v>Leeds</v>
      </c>
      <c r="L339" s="3" t="str">
        <f>_xlfn.XLOOKUP(C339,Customers!$A$2:$A$101,Customers!$D$2:$D$101)</f>
        <v>Small Business</v>
      </c>
      <c r="M339" s="3">
        <f t="shared" si="11"/>
        <v>255</v>
      </c>
      <c r="N339" s="3">
        <f>E339*_xlfn.XLOOKUP(D339,Products!$A$2:$A$11,Products!$E$2:$E$11)</f>
        <v>160</v>
      </c>
      <c r="O339" s="3">
        <f t="shared" si="10"/>
        <v>95</v>
      </c>
    </row>
    <row r="340" spans="1:15" x14ac:dyDescent="0.3">
      <c r="A340" t="s">
        <v>449</v>
      </c>
      <c r="B340" s="1">
        <v>45831</v>
      </c>
      <c r="C340" t="s">
        <v>218</v>
      </c>
      <c r="D340" t="s">
        <v>33</v>
      </c>
      <c r="E340">
        <v>4</v>
      </c>
      <c r="F340" s="2">
        <v>0.1</v>
      </c>
      <c r="G340" s="2" t="str">
        <f>_xlfn.XLOOKUP(D340,Products!$A$2:$A$11,Products!$B$2:$B$11)</f>
        <v>Notebook Pack</v>
      </c>
      <c r="H340" s="2" t="str">
        <f>_xlfn.XLOOKUP(D340,Products!$A$2:$A$11,Products!$C$2:$C$11)</f>
        <v>Stationery</v>
      </c>
      <c r="I340" s="3">
        <f>_xlfn.XLOOKUP(D340,Products!$A$2:$A$11,Products!$D$2:$D$11)</f>
        <v>12</v>
      </c>
      <c r="J340" s="3" t="str">
        <f>_xlfn.XLOOKUP(C340,Customers!$A$2:$A$101,Customers!$B$2:$B$101)</f>
        <v>Customer 024</v>
      </c>
      <c r="K340" s="3" t="str">
        <f>_xlfn.XLOOKUP(C340,Customers!$A$2:$A$101,Customers!$C$2:$C$101)</f>
        <v>Leeds</v>
      </c>
      <c r="L340" s="3" t="str">
        <f>_xlfn.XLOOKUP(C340,Customers!$A$2:$A$101,Customers!$D$2:$D$101)</f>
        <v>Consumer</v>
      </c>
      <c r="M340" s="3">
        <f t="shared" si="11"/>
        <v>43.2</v>
      </c>
      <c r="N340" s="3">
        <f>E340*_xlfn.XLOOKUP(D340,Products!$A$2:$A$11,Products!$E$2:$E$11)</f>
        <v>20</v>
      </c>
      <c r="O340" s="3">
        <f t="shared" si="10"/>
        <v>23.200000000000003</v>
      </c>
    </row>
    <row r="341" spans="1:15" x14ac:dyDescent="0.3">
      <c r="A341" t="s">
        <v>450</v>
      </c>
      <c r="B341" s="1">
        <v>45923</v>
      </c>
      <c r="C341" t="s">
        <v>244</v>
      </c>
      <c r="D341" t="s">
        <v>30</v>
      </c>
      <c r="E341">
        <v>4</v>
      </c>
      <c r="F341" s="2">
        <v>0</v>
      </c>
      <c r="G341" s="2" t="str">
        <f>_xlfn.XLOOKUP(D341,Products!$A$2:$A$11,Products!$B$2:$B$11)</f>
        <v>Wireless Mouse</v>
      </c>
      <c r="H341" s="2" t="str">
        <f>_xlfn.XLOOKUP(D341,Products!$A$2:$A$11,Products!$C$2:$C$11)</f>
        <v>Electronics</v>
      </c>
      <c r="I341" s="3">
        <f>_xlfn.XLOOKUP(D341,Products!$A$2:$A$11,Products!$D$2:$D$11)</f>
        <v>25</v>
      </c>
      <c r="J341" s="3" t="str">
        <f>_xlfn.XLOOKUP(C341,Customers!$A$2:$A$101,Customers!$B$2:$B$101)</f>
        <v>Customer 035</v>
      </c>
      <c r="K341" s="3" t="str">
        <f>_xlfn.XLOOKUP(C341,Customers!$A$2:$A$101,Customers!$C$2:$C$101)</f>
        <v>London</v>
      </c>
      <c r="L341" s="3" t="str">
        <f>_xlfn.XLOOKUP(C341,Customers!$A$2:$A$101,Customers!$D$2:$D$101)</f>
        <v>Corporate</v>
      </c>
      <c r="M341" s="3">
        <f t="shared" si="11"/>
        <v>100</v>
      </c>
      <c r="N341" s="3">
        <f>E341*_xlfn.XLOOKUP(D341,Products!$A$2:$A$11,Products!$E$2:$E$11)</f>
        <v>48</v>
      </c>
      <c r="O341" s="3">
        <f t="shared" si="10"/>
        <v>52</v>
      </c>
    </row>
    <row r="342" spans="1:15" x14ac:dyDescent="0.3">
      <c r="A342" t="s">
        <v>451</v>
      </c>
      <c r="B342" s="1">
        <v>45878</v>
      </c>
      <c r="C342" t="s">
        <v>15</v>
      </c>
      <c r="D342" t="s">
        <v>46</v>
      </c>
      <c r="E342">
        <v>5</v>
      </c>
      <c r="F342" s="2">
        <v>0.1</v>
      </c>
      <c r="G342" s="2" t="str">
        <f>_xlfn.XLOOKUP(D342,Products!$A$2:$A$11,Products!$B$2:$B$11)</f>
        <v>Keyboard</v>
      </c>
      <c r="H342" s="2" t="str">
        <f>_xlfn.XLOOKUP(D342,Products!$A$2:$A$11,Products!$C$2:$C$11)</f>
        <v>Electronics</v>
      </c>
      <c r="I342" s="3">
        <f>_xlfn.XLOOKUP(D342,Products!$A$2:$A$11,Products!$D$2:$D$11)</f>
        <v>45</v>
      </c>
      <c r="J342" s="3" t="str">
        <f>_xlfn.XLOOKUP(C342,Customers!$A$2:$A$101,Customers!$B$2:$B$101)</f>
        <v>Customer 078</v>
      </c>
      <c r="K342" s="3" t="str">
        <f>_xlfn.XLOOKUP(C342,Customers!$A$2:$A$101,Customers!$C$2:$C$101)</f>
        <v>Leeds</v>
      </c>
      <c r="L342" s="3" t="str">
        <f>_xlfn.XLOOKUP(C342,Customers!$A$2:$A$101,Customers!$D$2:$D$101)</f>
        <v>Corporate</v>
      </c>
      <c r="M342" s="3">
        <f t="shared" si="11"/>
        <v>202.5</v>
      </c>
      <c r="N342" s="3">
        <f>E342*_xlfn.XLOOKUP(D342,Products!$A$2:$A$11,Products!$E$2:$E$11)</f>
        <v>110</v>
      </c>
      <c r="O342" s="3">
        <f t="shared" si="10"/>
        <v>92.5</v>
      </c>
    </row>
    <row r="343" spans="1:15" x14ac:dyDescent="0.3">
      <c r="A343" t="s">
        <v>452</v>
      </c>
      <c r="B343" s="1">
        <v>45822</v>
      </c>
      <c r="C343" t="s">
        <v>43</v>
      </c>
      <c r="D343" t="s">
        <v>30</v>
      </c>
      <c r="E343">
        <v>3</v>
      </c>
      <c r="F343" s="2">
        <v>0.1</v>
      </c>
      <c r="G343" s="2" t="str">
        <f>_xlfn.XLOOKUP(D343,Products!$A$2:$A$11,Products!$B$2:$B$11)</f>
        <v>Wireless Mouse</v>
      </c>
      <c r="H343" s="2" t="str">
        <f>_xlfn.XLOOKUP(D343,Products!$A$2:$A$11,Products!$C$2:$C$11)</f>
        <v>Electronics</v>
      </c>
      <c r="I343" s="3">
        <f>_xlfn.XLOOKUP(D343,Products!$A$2:$A$11,Products!$D$2:$D$11)</f>
        <v>25</v>
      </c>
      <c r="J343" s="3" t="str">
        <f>_xlfn.XLOOKUP(C343,Customers!$A$2:$A$101,Customers!$B$2:$B$101)</f>
        <v>Customer 014</v>
      </c>
      <c r="K343" s="3" t="str">
        <f>_xlfn.XLOOKUP(C343,Customers!$A$2:$A$101,Customers!$C$2:$C$101)</f>
        <v>Sheffield</v>
      </c>
      <c r="L343" s="3" t="str">
        <f>_xlfn.XLOOKUP(C343,Customers!$A$2:$A$101,Customers!$D$2:$D$101)</f>
        <v>Corporate</v>
      </c>
      <c r="M343" s="3">
        <f t="shared" si="11"/>
        <v>67.5</v>
      </c>
      <c r="N343" s="3">
        <f>E343*_xlfn.XLOOKUP(D343,Products!$A$2:$A$11,Products!$E$2:$E$11)</f>
        <v>36</v>
      </c>
      <c r="O343" s="3">
        <f t="shared" si="10"/>
        <v>31.5</v>
      </c>
    </row>
    <row r="344" spans="1:15" x14ac:dyDescent="0.3">
      <c r="A344" t="s">
        <v>453</v>
      </c>
      <c r="B344" s="1">
        <v>45814</v>
      </c>
      <c r="C344" t="s">
        <v>45</v>
      </c>
      <c r="D344" t="s">
        <v>8</v>
      </c>
      <c r="E344">
        <v>4</v>
      </c>
      <c r="F344" s="2">
        <v>0.05</v>
      </c>
      <c r="G344" s="2" t="str">
        <f>_xlfn.XLOOKUP(D344,Products!$A$2:$A$11,Products!$B$2:$B$11)</f>
        <v>USB-C Hub</v>
      </c>
      <c r="H344" s="2" t="str">
        <f>_xlfn.XLOOKUP(D344,Products!$A$2:$A$11,Products!$C$2:$C$11)</f>
        <v>Electronics</v>
      </c>
      <c r="I344" s="3">
        <f>_xlfn.XLOOKUP(D344,Products!$A$2:$A$11,Products!$D$2:$D$11)</f>
        <v>40</v>
      </c>
      <c r="J344" s="3" t="str">
        <f>_xlfn.XLOOKUP(C344,Customers!$A$2:$A$101,Customers!$B$2:$B$101)</f>
        <v>Customer 058</v>
      </c>
      <c r="K344" s="3" t="str">
        <f>_xlfn.XLOOKUP(C344,Customers!$A$2:$A$101,Customers!$C$2:$C$101)</f>
        <v>Bristol</v>
      </c>
      <c r="L344" s="3" t="str">
        <f>_xlfn.XLOOKUP(C344,Customers!$A$2:$A$101,Customers!$D$2:$D$101)</f>
        <v>Corporate</v>
      </c>
      <c r="M344" s="3">
        <f t="shared" si="11"/>
        <v>152</v>
      </c>
      <c r="N344" s="3">
        <f>E344*_xlfn.XLOOKUP(D344,Products!$A$2:$A$11,Products!$E$2:$E$11)</f>
        <v>76</v>
      </c>
      <c r="O344" s="3">
        <f t="shared" si="10"/>
        <v>76</v>
      </c>
    </row>
    <row r="345" spans="1:15" x14ac:dyDescent="0.3">
      <c r="A345" t="s">
        <v>454</v>
      </c>
      <c r="B345" s="1">
        <v>46011</v>
      </c>
      <c r="C345" t="s">
        <v>130</v>
      </c>
      <c r="D345" t="s">
        <v>19</v>
      </c>
      <c r="E345">
        <v>4</v>
      </c>
      <c r="F345" s="2">
        <v>0</v>
      </c>
      <c r="G345" s="2" t="str">
        <f>_xlfn.XLOOKUP(D345,Products!$A$2:$A$11,Products!$B$2:$B$11)</f>
        <v>Backpack</v>
      </c>
      <c r="H345" s="2" t="str">
        <f>_xlfn.XLOOKUP(D345,Products!$A$2:$A$11,Products!$C$2:$C$11)</f>
        <v>Lifestyle</v>
      </c>
      <c r="I345" s="3">
        <f>_xlfn.XLOOKUP(D345,Products!$A$2:$A$11,Products!$D$2:$D$11)</f>
        <v>55</v>
      </c>
      <c r="J345" s="3" t="str">
        <f>_xlfn.XLOOKUP(C345,Customers!$A$2:$A$101,Customers!$B$2:$B$101)</f>
        <v>Customer 057</v>
      </c>
      <c r="K345" s="3" t="str">
        <f>_xlfn.XLOOKUP(C345,Customers!$A$2:$A$101,Customers!$C$2:$C$101)</f>
        <v>London</v>
      </c>
      <c r="L345" s="3" t="str">
        <f>_xlfn.XLOOKUP(C345,Customers!$A$2:$A$101,Customers!$D$2:$D$101)</f>
        <v>Consumer</v>
      </c>
      <c r="M345" s="3">
        <f t="shared" si="11"/>
        <v>220</v>
      </c>
      <c r="N345" s="3">
        <f>E345*_xlfn.XLOOKUP(D345,Products!$A$2:$A$11,Products!$E$2:$E$11)</f>
        <v>108</v>
      </c>
      <c r="O345" s="3">
        <f t="shared" si="10"/>
        <v>112</v>
      </c>
    </row>
    <row r="346" spans="1:15" x14ac:dyDescent="0.3">
      <c r="A346" t="s">
        <v>455</v>
      </c>
      <c r="B346" s="1">
        <v>45838</v>
      </c>
      <c r="C346" t="s">
        <v>137</v>
      </c>
      <c r="D346" t="s">
        <v>16</v>
      </c>
      <c r="E346">
        <v>3</v>
      </c>
      <c r="F346" s="2">
        <v>0</v>
      </c>
      <c r="G346" s="2" t="str">
        <f>_xlfn.XLOOKUP(D346,Products!$A$2:$A$11,Products!$B$2:$B$11)</f>
        <v>Headphones</v>
      </c>
      <c r="H346" s="2" t="str">
        <f>_xlfn.XLOOKUP(D346,Products!$A$2:$A$11,Products!$C$2:$C$11)</f>
        <v>Electronics</v>
      </c>
      <c r="I346" s="3">
        <f>_xlfn.XLOOKUP(D346,Products!$A$2:$A$11,Products!$D$2:$D$11)</f>
        <v>75</v>
      </c>
      <c r="J346" s="3" t="str">
        <f>_xlfn.XLOOKUP(C346,Customers!$A$2:$A$101,Customers!$B$2:$B$101)</f>
        <v>Customer 079</v>
      </c>
      <c r="K346" s="3" t="str">
        <f>_xlfn.XLOOKUP(C346,Customers!$A$2:$A$101,Customers!$C$2:$C$101)</f>
        <v>Birmingham</v>
      </c>
      <c r="L346" s="3" t="str">
        <f>_xlfn.XLOOKUP(C346,Customers!$A$2:$A$101,Customers!$D$2:$D$101)</f>
        <v>Corporate</v>
      </c>
      <c r="M346" s="3">
        <f t="shared" si="11"/>
        <v>225</v>
      </c>
      <c r="N346" s="3">
        <f>E346*_xlfn.XLOOKUP(D346,Products!$A$2:$A$11,Products!$E$2:$E$11)</f>
        <v>120</v>
      </c>
      <c r="O346" s="3">
        <f t="shared" si="10"/>
        <v>105</v>
      </c>
    </row>
    <row r="347" spans="1:15" x14ac:dyDescent="0.3">
      <c r="A347" t="s">
        <v>456</v>
      </c>
      <c r="B347" s="1">
        <v>45696</v>
      </c>
      <c r="C347" t="s">
        <v>32</v>
      </c>
      <c r="D347" t="s">
        <v>16</v>
      </c>
      <c r="E347">
        <v>3</v>
      </c>
      <c r="F347" s="2">
        <v>0.05</v>
      </c>
      <c r="G347" s="2" t="str">
        <f>_xlfn.XLOOKUP(D347,Products!$A$2:$A$11,Products!$B$2:$B$11)</f>
        <v>Headphones</v>
      </c>
      <c r="H347" s="2" t="str">
        <f>_xlfn.XLOOKUP(D347,Products!$A$2:$A$11,Products!$C$2:$C$11)</f>
        <v>Electronics</v>
      </c>
      <c r="I347" s="3">
        <f>_xlfn.XLOOKUP(D347,Products!$A$2:$A$11,Products!$D$2:$D$11)</f>
        <v>75</v>
      </c>
      <c r="J347" s="3" t="str">
        <f>_xlfn.XLOOKUP(C347,Customers!$A$2:$A$101,Customers!$B$2:$B$101)</f>
        <v>Customer 086</v>
      </c>
      <c r="K347" s="3" t="str">
        <f>_xlfn.XLOOKUP(C347,Customers!$A$2:$A$101,Customers!$C$2:$C$101)</f>
        <v>Manchester</v>
      </c>
      <c r="L347" s="3" t="str">
        <f>_xlfn.XLOOKUP(C347,Customers!$A$2:$A$101,Customers!$D$2:$D$101)</f>
        <v>Small Business</v>
      </c>
      <c r="M347" s="3">
        <f t="shared" si="11"/>
        <v>213.75</v>
      </c>
      <c r="N347" s="3">
        <f>E347*_xlfn.XLOOKUP(D347,Products!$A$2:$A$11,Products!$E$2:$E$11)</f>
        <v>120</v>
      </c>
      <c r="O347" s="3">
        <f t="shared" si="10"/>
        <v>93.75</v>
      </c>
    </row>
    <row r="348" spans="1:15" x14ac:dyDescent="0.3">
      <c r="A348" t="s">
        <v>457</v>
      </c>
      <c r="B348" s="1">
        <v>45673</v>
      </c>
      <c r="C348" t="s">
        <v>135</v>
      </c>
      <c r="D348" t="s">
        <v>8</v>
      </c>
      <c r="E348">
        <v>4</v>
      </c>
      <c r="F348" s="2">
        <v>0</v>
      </c>
      <c r="G348" s="2" t="str">
        <f>_xlfn.XLOOKUP(D348,Products!$A$2:$A$11,Products!$B$2:$B$11)</f>
        <v>USB-C Hub</v>
      </c>
      <c r="H348" s="2" t="str">
        <f>_xlfn.XLOOKUP(D348,Products!$A$2:$A$11,Products!$C$2:$C$11)</f>
        <v>Electronics</v>
      </c>
      <c r="I348" s="3">
        <f>_xlfn.XLOOKUP(D348,Products!$A$2:$A$11,Products!$D$2:$D$11)</f>
        <v>40</v>
      </c>
      <c r="J348" s="3" t="str">
        <f>_xlfn.XLOOKUP(C348,Customers!$A$2:$A$101,Customers!$B$2:$B$101)</f>
        <v>Customer 019</v>
      </c>
      <c r="K348" s="3" t="str">
        <f>_xlfn.XLOOKUP(C348,Customers!$A$2:$A$101,Customers!$C$2:$C$101)</f>
        <v>Manchester</v>
      </c>
      <c r="L348" s="3" t="str">
        <f>_xlfn.XLOOKUP(C348,Customers!$A$2:$A$101,Customers!$D$2:$D$101)</f>
        <v>Corporate</v>
      </c>
      <c r="M348" s="3">
        <f t="shared" si="11"/>
        <v>160</v>
      </c>
      <c r="N348" s="3">
        <f>E348*_xlfn.XLOOKUP(D348,Products!$A$2:$A$11,Products!$E$2:$E$11)</f>
        <v>76</v>
      </c>
      <c r="O348" s="3">
        <f t="shared" si="10"/>
        <v>84</v>
      </c>
    </row>
    <row r="349" spans="1:15" x14ac:dyDescent="0.3">
      <c r="A349" t="s">
        <v>458</v>
      </c>
      <c r="B349" s="1">
        <v>45722</v>
      </c>
      <c r="C349" t="s">
        <v>10</v>
      </c>
      <c r="D349" t="s">
        <v>22</v>
      </c>
      <c r="E349">
        <v>3</v>
      </c>
      <c r="F349" s="2">
        <v>0.1</v>
      </c>
      <c r="G349" s="2" t="str">
        <f>_xlfn.XLOOKUP(D349,Products!$A$2:$A$11,Products!$B$2:$B$11)</f>
        <v>Desk Lamp</v>
      </c>
      <c r="H349" s="2" t="str">
        <f>_xlfn.XLOOKUP(D349,Products!$A$2:$A$11,Products!$C$2:$C$11)</f>
        <v>Office</v>
      </c>
      <c r="I349" s="3">
        <f>_xlfn.XLOOKUP(D349,Products!$A$2:$A$11,Products!$D$2:$D$11)</f>
        <v>30</v>
      </c>
      <c r="J349" s="3" t="str">
        <f>_xlfn.XLOOKUP(C349,Customers!$A$2:$A$101,Customers!$B$2:$B$101)</f>
        <v>Customer 009</v>
      </c>
      <c r="K349" s="3" t="str">
        <f>_xlfn.XLOOKUP(C349,Customers!$A$2:$A$101,Customers!$C$2:$C$101)</f>
        <v>London</v>
      </c>
      <c r="L349" s="3" t="str">
        <f>_xlfn.XLOOKUP(C349,Customers!$A$2:$A$101,Customers!$D$2:$D$101)</f>
        <v>Consumer</v>
      </c>
      <c r="M349" s="3">
        <f t="shared" si="11"/>
        <v>81</v>
      </c>
      <c r="N349" s="3">
        <f>E349*_xlfn.XLOOKUP(D349,Products!$A$2:$A$11,Products!$E$2:$E$11)</f>
        <v>45</v>
      </c>
      <c r="O349" s="3">
        <f t="shared" si="10"/>
        <v>36</v>
      </c>
    </row>
    <row r="350" spans="1:15" x14ac:dyDescent="0.3">
      <c r="A350" t="s">
        <v>459</v>
      </c>
      <c r="B350" s="1">
        <v>45854</v>
      </c>
      <c r="C350" t="s">
        <v>196</v>
      </c>
      <c r="D350" t="s">
        <v>27</v>
      </c>
      <c r="E350">
        <v>5</v>
      </c>
      <c r="F350" s="2">
        <v>0.05</v>
      </c>
      <c r="G350" s="2" t="str">
        <f>_xlfn.XLOOKUP(D350,Products!$A$2:$A$11,Products!$B$2:$B$11)</f>
        <v>Laptop Stand</v>
      </c>
      <c r="H350" s="2" t="str">
        <f>_xlfn.XLOOKUP(D350,Products!$A$2:$A$11,Products!$C$2:$C$11)</f>
        <v>Office</v>
      </c>
      <c r="I350" s="3">
        <f>_xlfn.XLOOKUP(D350,Products!$A$2:$A$11,Products!$D$2:$D$11)</f>
        <v>35</v>
      </c>
      <c r="J350" s="3" t="str">
        <f>_xlfn.XLOOKUP(C350,Customers!$A$2:$A$101,Customers!$B$2:$B$101)</f>
        <v>Customer 073</v>
      </c>
      <c r="K350" s="3" t="str">
        <f>_xlfn.XLOOKUP(C350,Customers!$A$2:$A$101,Customers!$C$2:$C$101)</f>
        <v>Manchester</v>
      </c>
      <c r="L350" s="3" t="str">
        <f>_xlfn.XLOOKUP(C350,Customers!$A$2:$A$101,Customers!$D$2:$D$101)</f>
        <v>Corporate</v>
      </c>
      <c r="M350" s="3">
        <f t="shared" si="11"/>
        <v>166.25</v>
      </c>
      <c r="N350" s="3">
        <f>E350*_xlfn.XLOOKUP(D350,Products!$A$2:$A$11,Products!$E$2:$E$11)</f>
        <v>100</v>
      </c>
      <c r="O350" s="3">
        <f t="shared" si="10"/>
        <v>66.25</v>
      </c>
    </row>
    <row r="351" spans="1:15" x14ac:dyDescent="0.3">
      <c r="A351" t="s">
        <v>460</v>
      </c>
      <c r="B351" s="1">
        <v>46005</v>
      </c>
      <c r="C351" t="s">
        <v>45</v>
      </c>
      <c r="D351" t="s">
        <v>19</v>
      </c>
      <c r="E351">
        <v>3</v>
      </c>
      <c r="F351" s="2">
        <v>0.15</v>
      </c>
      <c r="G351" s="2" t="str">
        <f>_xlfn.XLOOKUP(D351,Products!$A$2:$A$11,Products!$B$2:$B$11)</f>
        <v>Backpack</v>
      </c>
      <c r="H351" s="2" t="str">
        <f>_xlfn.XLOOKUP(D351,Products!$A$2:$A$11,Products!$C$2:$C$11)</f>
        <v>Lifestyle</v>
      </c>
      <c r="I351" s="3">
        <f>_xlfn.XLOOKUP(D351,Products!$A$2:$A$11,Products!$D$2:$D$11)</f>
        <v>55</v>
      </c>
      <c r="J351" s="3" t="str">
        <f>_xlfn.XLOOKUP(C351,Customers!$A$2:$A$101,Customers!$B$2:$B$101)</f>
        <v>Customer 058</v>
      </c>
      <c r="K351" s="3" t="str">
        <f>_xlfn.XLOOKUP(C351,Customers!$A$2:$A$101,Customers!$C$2:$C$101)</f>
        <v>Bristol</v>
      </c>
      <c r="L351" s="3" t="str">
        <f>_xlfn.XLOOKUP(C351,Customers!$A$2:$A$101,Customers!$D$2:$D$101)</f>
        <v>Corporate</v>
      </c>
      <c r="M351" s="3">
        <f t="shared" si="11"/>
        <v>140.25</v>
      </c>
      <c r="N351" s="3">
        <f>E351*_xlfn.XLOOKUP(D351,Products!$A$2:$A$11,Products!$E$2:$E$11)</f>
        <v>81</v>
      </c>
      <c r="O351" s="3">
        <f t="shared" si="10"/>
        <v>59.25</v>
      </c>
    </row>
    <row r="352" spans="1:15" x14ac:dyDescent="0.3">
      <c r="A352" t="s">
        <v>461</v>
      </c>
      <c r="B352" s="1">
        <v>45697</v>
      </c>
      <c r="C352" t="s">
        <v>35</v>
      </c>
      <c r="D352" t="s">
        <v>46</v>
      </c>
      <c r="E352">
        <v>5</v>
      </c>
      <c r="F352" s="2">
        <v>0.1</v>
      </c>
      <c r="G352" s="2" t="str">
        <f>_xlfn.XLOOKUP(D352,Products!$A$2:$A$11,Products!$B$2:$B$11)</f>
        <v>Keyboard</v>
      </c>
      <c r="H352" s="2" t="str">
        <f>_xlfn.XLOOKUP(D352,Products!$A$2:$A$11,Products!$C$2:$C$11)</f>
        <v>Electronics</v>
      </c>
      <c r="I352" s="3">
        <f>_xlfn.XLOOKUP(D352,Products!$A$2:$A$11,Products!$D$2:$D$11)</f>
        <v>45</v>
      </c>
      <c r="J352" s="3" t="str">
        <f>_xlfn.XLOOKUP(C352,Customers!$A$2:$A$101,Customers!$B$2:$B$101)</f>
        <v>Customer 074</v>
      </c>
      <c r="K352" s="3" t="str">
        <f>_xlfn.XLOOKUP(C352,Customers!$A$2:$A$101,Customers!$C$2:$C$101)</f>
        <v>Manchester</v>
      </c>
      <c r="L352" s="3" t="str">
        <f>_xlfn.XLOOKUP(C352,Customers!$A$2:$A$101,Customers!$D$2:$D$101)</f>
        <v>Corporate</v>
      </c>
      <c r="M352" s="3">
        <f t="shared" si="11"/>
        <v>202.5</v>
      </c>
      <c r="N352" s="3">
        <f>E352*_xlfn.XLOOKUP(D352,Products!$A$2:$A$11,Products!$E$2:$E$11)</f>
        <v>110</v>
      </c>
      <c r="O352" s="3">
        <f t="shared" si="10"/>
        <v>92.5</v>
      </c>
    </row>
    <row r="353" spans="1:15" x14ac:dyDescent="0.3">
      <c r="A353" t="s">
        <v>462</v>
      </c>
      <c r="B353" s="1">
        <v>45861</v>
      </c>
      <c r="C353" t="s">
        <v>252</v>
      </c>
      <c r="D353" t="s">
        <v>60</v>
      </c>
      <c r="E353">
        <v>2</v>
      </c>
      <c r="F353" s="2">
        <v>0</v>
      </c>
      <c r="G353" s="2" t="str">
        <f>_xlfn.XLOOKUP(D353,Products!$A$2:$A$11,Products!$B$2:$B$11)</f>
        <v>Water Bottle</v>
      </c>
      <c r="H353" s="2" t="str">
        <f>_xlfn.XLOOKUP(D353,Products!$A$2:$A$11,Products!$C$2:$C$11)</f>
        <v>Lifestyle</v>
      </c>
      <c r="I353" s="3">
        <f>_xlfn.XLOOKUP(D353,Products!$A$2:$A$11,Products!$D$2:$D$11)</f>
        <v>18</v>
      </c>
      <c r="J353" s="3" t="str">
        <f>_xlfn.XLOOKUP(C353,Customers!$A$2:$A$101,Customers!$B$2:$B$101)</f>
        <v>Customer 041</v>
      </c>
      <c r="K353" s="3" t="str">
        <f>_xlfn.XLOOKUP(C353,Customers!$A$2:$A$101,Customers!$C$2:$C$101)</f>
        <v>Manchester</v>
      </c>
      <c r="L353" s="3" t="str">
        <f>_xlfn.XLOOKUP(C353,Customers!$A$2:$A$101,Customers!$D$2:$D$101)</f>
        <v>Small Business</v>
      </c>
      <c r="M353" s="3">
        <f t="shared" si="11"/>
        <v>36</v>
      </c>
      <c r="N353" s="3">
        <f>E353*_xlfn.XLOOKUP(D353,Products!$A$2:$A$11,Products!$E$2:$E$11)</f>
        <v>14</v>
      </c>
      <c r="O353" s="3">
        <f t="shared" si="10"/>
        <v>22</v>
      </c>
    </row>
    <row r="354" spans="1:15" x14ac:dyDescent="0.3">
      <c r="A354" t="s">
        <v>463</v>
      </c>
      <c r="B354" s="1">
        <v>45671</v>
      </c>
      <c r="C354" t="s">
        <v>62</v>
      </c>
      <c r="D354" t="s">
        <v>46</v>
      </c>
      <c r="E354">
        <v>4</v>
      </c>
      <c r="F354" s="2">
        <v>0.15</v>
      </c>
      <c r="G354" s="2" t="str">
        <f>_xlfn.XLOOKUP(D354,Products!$A$2:$A$11,Products!$B$2:$B$11)</f>
        <v>Keyboard</v>
      </c>
      <c r="H354" s="2" t="str">
        <f>_xlfn.XLOOKUP(D354,Products!$A$2:$A$11,Products!$C$2:$C$11)</f>
        <v>Electronics</v>
      </c>
      <c r="I354" s="3">
        <f>_xlfn.XLOOKUP(D354,Products!$A$2:$A$11,Products!$D$2:$D$11)</f>
        <v>45</v>
      </c>
      <c r="J354" s="3" t="str">
        <f>_xlfn.XLOOKUP(C354,Customers!$A$2:$A$101,Customers!$B$2:$B$101)</f>
        <v>Customer 095</v>
      </c>
      <c r="K354" s="3" t="str">
        <f>_xlfn.XLOOKUP(C354,Customers!$A$2:$A$101,Customers!$C$2:$C$101)</f>
        <v>Manchester</v>
      </c>
      <c r="L354" s="3" t="str">
        <f>_xlfn.XLOOKUP(C354,Customers!$A$2:$A$101,Customers!$D$2:$D$101)</f>
        <v>Corporate</v>
      </c>
      <c r="M354" s="3">
        <f t="shared" si="11"/>
        <v>153</v>
      </c>
      <c r="N354" s="3">
        <f>E354*_xlfn.XLOOKUP(D354,Products!$A$2:$A$11,Products!$E$2:$E$11)</f>
        <v>88</v>
      </c>
      <c r="O354" s="3">
        <f t="shared" si="10"/>
        <v>65</v>
      </c>
    </row>
    <row r="355" spans="1:15" x14ac:dyDescent="0.3">
      <c r="A355" t="s">
        <v>464</v>
      </c>
      <c r="B355" s="1">
        <v>45945</v>
      </c>
      <c r="C355" t="s">
        <v>121</v>
      </c>
      <c r="D355" t="s">
        <v>60</v>
      </c>
      <c r="E355">
        <v>3</v>
      </c>
      <c r="F355" s="2">
        <v>0.15</v>
      </c>
      <c r="G355" s="2" t="str">
        <f>_xlfn.XLOOKUP(D355,Products!$A$2:$A$11,Products!$B$2:$B$11)</f>
        <v>Water Bottle</v>
      </c>
      <c r="H355" s="2" t="str">
        <f>_xlfn.XLOOKUP(D355,Products!$A$2:$A$11,Products!$C$2:$C$11)</f>
        <v>Lifestyle</v>
      </c>
      <c r="I355" s="3">
        <f>_xlfn.XLOOKUP(D355,Products!$A$2:$A$11,Products!$D$2:$D$11)</f>
        <v>18</v>
      </c>
      <c r="J355" s="3" t="str">
        <f>_xlfn.XLOOKUP(C355,Customers!$A$2:$A$101,Customers!$B$2:$B$101)</f>
        <v>Customer 016</v>
      </c>
      <c r="K355" s="3" t="str">
        <f>_xlfn.XLOOKUP(C355,Customers!$A$2:$A$101,Customers!$C$2:$C$101)</f>
        <v>Leeds</v>
      </c>
      <c r="L355" s="3" t="str">
        <f>_xlfn.XLOOKUP(C355,Customers!$A$2:$A$101,Customers!$D$2:$D$101)</f>
        <v>Consumer</v>
      </c>
      <c r="M355" s="3">
        <f t="shared" si="11"/>
        <v>45.9</v>
      </c>
      <c r="N355" s="3">
        <f>E355*_xlfn.XLOOKUP(D355,Products!$A$2:$A$11,Products!$E$2:$E$11)</f>
        <v>21</v>
      </c>
      <c r="O355" s="3">
        <f t="shared" si="10"/>
        <v>24.9</v>
      </c>
    </row>
    <row r="356" spans="1:15" x14ac:dyDescent="0.3">
      <c r="A356" t="s">
        <v>465</v>
      </c>
      <c r="B356" s="1">
        <v>45767</v>
      </c>
      <c r="C356" t="s">
        <v>137</v>
      </c>
      <c r="D356" t="s">
        <v>60</v>
      </c>
      <c r="E356">
        <v>4</v>
      </c>
      <c r="F356" s="2">
        <v>0.05</v>
      </c>
      <c r="G356" s="2" t="str">
        <f>_xlfn.XLOOKUP(D356,Products!$A$2:$A$11,Products!$B$2:$B$11)</f>
        <v>Water Bottle</v>
      </c>
      <c r="H356" s="2" t="str">
        <f>_xlfn.XLOOKUP(D356,Products!$A$2:$A$11,Products!$C$2:$C$11)</f>
        <v>Lifestyle</v>
      </c>
      <c r="I356" s="3">
        <f>_xlfn.XLOOKUP(D356,Products!$A$2:$A$11,Products!$D$2:$D$11)</f>
        <v>18</v>
      </c>
      <c r="J356" s="3" t="str">
        <f>_xlfn.XLOOKUP(C356,Customers!$A$2:$A$101,Customers!$B$2:$B$101)</f>
        <v>Customer 079</v>
      </c>
      <c r="K356" s="3" t="str">
        <f>_xlfn.XLOOKUP(C356,Customers!$A$2:$A$101,Customers!$C$2:$C$101)</f>
        <v>Birmingham</v>
      </c>
      <c r="L356" s="3" t="str">
        <f>_xlfn.XLOOKUP(C356,Customers!$A$2:$A$101,Customers!$D$2:$D$101)</f>
        <v>Corporate</v>
      </c>
      <c r="M356" s="3">
        <f t="shared" si="11"/>
        <v>68.399999999999991</v>
      </c>
      <c r="N356" s="3">
        <f>E356*_xlfn.XLOOKUP(D356,Products!$A$2:$A$11,Products!$E$2:$E$11)</f>
        <v>28</v>
      </c>
      <c r="O356" s="3">
        <f t="shared" si="10"/>
        <v>40.399999999999991</v>
      </c>
    </row>
    <row r="357" spans="1:15" x14ac:dyDescent="0.3">
      <c r="A357" t="s">
        <v>466</v>
      </c>
      <c r="B357" s="1">
        <v>45720</v>
      </c>
      <c r="C357" t="s">
        <v>315</v>
      </c>
      <c r="D357" t="s">
        <v>30</v>
      </c>
      <c r="E357">
        <v>4</v>
      </c>
      <c r="F357" s="2">
        <v>0.05</v>
      </c>
      <c r="G357" s="2" t="str">
        <f>_xlfn.XLOOKUP(D357,Products!$A$2:$A$11,Products!$B$2:$B$11)</f>
        <v>Wireless Mouse</v>
      </c>
      <c r="H357" s="2" t="str">
        <f>_xlfn.XLOOKUP(D357,Products!$A$2:$A$11,Products!$C$2:$C$11)</f>
        <v>Electronics</v>
      </c>
      <c r="I357" s="3">
        <f>_xlfn.XLOOKUP(D357,Products!$A$2:$A$11,Products!$D$2:$D$11)</f>
        <v>25</v>
      </c>
      <c r="J357" s="3" t="str">
        <f>_xlfn.XLOOKUP(C357,Customers!$A$2:$A$101,Customers!$B$2:$B$101)</f>
        <v>Customer 018</v>
      </c>
      <c r="K357" s="3" t="str">
        <f>_xlfn.XLOOKUP(C357,Customers!$A$2:$A$101,Customers!$C$2:$C$101)</f>
        <v>Birmingham</v>
      </c>
      <c r="L357" s="3" t="str">
        <f>_xlfn.XLOOKUP(C357,Customers!$A$2:$A$101,Customers!$D$2:$D$101)</f>
        <v>Consumer</v>
      </c>
      <c r="M357" s="3">
        <f t="shared" si="11"/>
        <v>95</v>
      </c>
      <c r="N357" s="3">
        <f>E357*_xlfn.XLOOKUP(D357,Products!$A$2:$A$11,Products!$E$2:$E$11)</f>
        <v>48</v>
      </c>
      <c r="O357" s="3">
        <f t="shared" si="10"/>
        <v>47</v>
      </c>
    </row>
    <row r="358" spans="1:15" x14ac:dyDescent="0.3">
      <c r="A358" t="s">
        <v>467</v>
      </c>
      <c r="B358" s="1">
        <v>45885</v>
      </c>
      <c r="C358" t="s">
        <v>194</v>
      </c>
      <c r="D358" t="s">
        <v>19</v>
      </c>
      <c r="E358">
        <v>3</v>
      </c>
      <c r="F358" s="2">
        <v>0</v>
      </c>
      <c r="G358" s="2" t="str">
        <f>_xlfn.XLOOKUP(D358,Products!$A$2:$A$11,Products!$B$2:$B$11)</f>
        <v>Backpack</v>
      </c>
      <c r="H358" s="2" t="str">
        <f>_xlfn.XLOOKUP(D358,Products!$A$2:$A$11,Products!$C$2:$C$11)</f>
        <v>Lifestyle</v>
      </c>
      <c r="I358" s="3">
        <f>_xlfn.XLOOKUP(D358,Products!$A$2:$A$11,Products!$D$2:$D$11)</f>
        <v>55</v>
      </c>
      <c r="J358" s="3" t="str">
        <f>_xlfn.XLOOKUP(C358,Customers!$A$2:$A$101,Customers!$B$2:$B$101)</f>
        <v>Customer 012</v>
      </c>
      <c r="K358" s="3" t="str">
        <f>_xlfn.XLOOKUP(C358,Customers!$A$2:$A$101,Customers!$C$2:$C$101)</f>
        <v>Bristol</v>
      </c>
      <c r="L358" s="3" t="str">
        <f>_xlfn.XLOOKUP(C358,Customers!$A$2:$A$101,Customers!$D$2:$D$101)</f>
        <v>Consumer</v>
      </c>
      <c r="M358" s="3">
        <f t="shared" si="11"/>
        <v>165</v>
      </c>
      <c r="N358" s="3">
        <f>E358*_xlfn.XLOOKUP(D358,Products!$A$2:$A$11,Products!$E$2:$E$11)</f>
        <v>81</v>
      </c>
      <c r="O358" s="3">
        <f t="shared" si="10"/>
        <v>84</v>
      </c>
    </row>
    <row r="359" spans="1:15" x14ac:dyDescent="0.3">
      <c r="A359" t="s">
        <v>468</v>
      </c>
      <c r="B359" s="1">
        <v>45939</v>
      </c>
      <c r="C359" t="s">
        <v>240</v>
      </c>
      <c r="D359" t="s">
        <v>60</v>
      </c>
      <c r="E359">
        <v>3</v>
      </c>
      <c r="F359" s="2">
        <v>0.05</v>
      </c>
      <c r="G359" s="2" t="str">
        <f>_xlfn.XLOOKUP(D359,Products!$A$2:$A$11,Products!$B$2:$B$11)</f>
        <v>Water Bottle</v>
      </c>
      <c r="H359" s="2" t="str">
        <f>_xlfn.XLOOKUP(D359,Products!$A$2:$A$11,Products!$C$2:$C$11)</f>
        <v>Lifestyle</v>
      </c>
      <c r="I359" s="3">
        <f>_xlfn.XLOOKUP(D359,Products!$A$2:$A$11,Products!$D$2:$D$11)</f>
        <v>18</v>
      </c>
      <c r="J359" s="3" t="str">
        <f>_xlfn.XLOOKUP(C359,Customers!$A$2:$A$101,Customers!$B$2:$B$101)</f>
        <v>Customer 070</v>
      </c>
      <c r="K359" s="3" t="str">
        <f>_xlfn.XLOOKUP(C359,Customers!$A$2:$A$101,Customers!$C$2:$C$101)</f>
        <v>Manchester</v>
      </c>
      <c r="L359" s="3" t="str">
        <f>_xlfn.XLOOKUP(C359,Customers!$A$2:$A$101,Customers!$D$2:$D$101)</f>
        <v>Corporate</v>
      </c>
      <c r="M359" s="3">
        <f t="shared" si="11"/>
        <v>51.3</v>
      </c>
      <c r="N359" s="3">
        <f>E359*_xlfn.XLOOKUP(D359,Products!$A$2:$A$11,Products!$E$2:$E$11)</f>
        <v>21</v>
      </c>
      <c r="O359" s="3">
        <f t="shared" si="10"/>
        <v>30.299999999999997</v>
      </c>
    </row>
    <row r="360" spans="1:15" x14ac:dyDescent="0.3">
      <c r="A360" t="s">
        <v>469</v>
      </c>
      <c r="B360" s="1">
        <v>46022</v>
      </c>
      <c r="C360" t="s">
        <v>272</v>
      </c>
      <c r="D360" t="s">
        <v>46</v>
      </c>
      <c r="E360">
        <v>3</v>
      </c>
      <c r="F360" s="2">
        <v>0.05</v>
      </c>
      <c r="G360" s="2" t="str">
        <f>_xlfn.XLOOKUP(D360,Products!$A$2:$A$11,Products!$B$2:$B$11)</f>
        <v>Keyboard</v>
      </c>
      <c r="H360" s="2" t="str">
        <f>_xlfn.XLOOKUP(D360,Products!$A$2:$A$11,Products!$C$2:$C$11)</f>
        <v>Electronics</v>
      </c>
      <c r="I360" s="3">
        <f>_xlfn.XLOOKUP(D360,Products!$A$2:$A$11,Products!$D$2:$D$11)</f>
        <v>45</v>
      </c>
      <c r="J360" s="3" t="str">
        <f>_xlfn.XLOOKUP(C360,Customers!$A$2:$A$101,Customers!$B$2:$B$101)</f>
        <v>Customer 091</v>
      </c>
      <c r="K360" s="3" t="str">
        <f>_xlfn.XLOOKUP(C360,Customers!$A$2:$A$101,Customers!$C$2:$C$101)</f>
        <v>Sheffield</v>
      </c>
      <c r="L360" s="3" t="str">
        <f>_xlfn.XLOOKUP(C360,Customers!$A$2:$A$101,Customers!$D$2:$D$101)</f>
        <v>Small Business</v>
      </c>
      <c r="M360" s="3">
        <f t="shared" si="11"/>
        <v>128.25</v>
      </c>
      <c r="N360" s="3">
        <f>E360*_xlfn.XLOOKUP(D360,Products!$A$2:$A$11,Products!$E$2:$E$11)</f>
        <v>66</v>
      </c>
      <c r="O360" s="3">
        <f t="shared" si="10"/>
        <v>62.25</v>
      </c>
    </row>
    <row r="361" spans="1:15" x14ac:dyDescent="0.3">
      <c r="A361" t="s">
        <v>470</v>
      </c>
      <c r="B361" s="1">
        <v>45720</v>
      </c>
      <c r="C361" t="s">
        <v>302</v>
      </c>
      <c r="D361" t="s">
        <v>46</v>
      </c>
      <c r="E361">
        <v>2</v>
      </c>
      <c r="F361" s="2">
        <v>0.15</v>
      </c>
      <c r="G361" s="2" t="str">
        <f>_xlfn.XLOOKUP(D361,Products!$A$2:$A$11,Products!$B$2:$B$11)</f>
        <v>Keyboard</v>
      </c>
      <c r="H361" s="2" t="str">
        <f>_xlfn.XLOOKUP(D361,Products!$A$2:$A$11,Products!$C$2:$C$11)</f>
        <v>Electronics</v>
      </c>
      <c r="I361" s="3">
        <f>_xlfn.XLOOKUP(D361,Products!$A$2:$A$11,Products!$D$2:$D$11)</f>
        <v>45</v>
      </c>
      <c r="J361" s="3" t="str">
        <f>_xlfn.XLOOKUP(C361,Customers!$A$2:$A$101,Customers!$B$2:$B$101)</f>
        <v>Customer 026</v>
      </c>
      <c r="K361" s="3" t="str">
        <f>_xlfn.XLOOKUP(C361,Customers!$A$2:$A$101,Customers!$C$2:$C$101)</f>
        <v>Bristol</v>
      </c>
      <c r="L361" s="3" t="str">
        <f>_xlfn.XLOOKUP(C361,Customers!$A$2:$A$101,Customers!$D$2:$D$101)</f>
        <v>Small Business</v>
      </c>
      <c r="M361" s="3">
        <f t="shared" si="11"/>
        <v>76.5</v>
      </c>
      <c r="N361" s="3">
        <f>E361*_xlfn.XLOOKUP(D361,Products!$A$2:$A$11,Products!$E$2:$E$11)</f>
        <v>44</v>
      </c>
      <c r="O361" s="3">
        <f t="shared" si="10"/>
        <v>32.5</v>
      </c>
    </row>
    <row r="362" spans="1:15" x14ac:dyDescent="0.3">
      <c r="A362" t="s">
        <v>471</v>
      </c>
      <c r="B362" s="1">
        <v>45671</v>
      </c>
      <c r="C362" t="s">
        <v>323</v>
      </c>
      <c r="D362" t="s">
        <v>11</v>
      </c>
      <c r="E362">
        <v>5</v>
      </c>
      <c r="F362" s="2">
        <v>0.1</v>
      </c>
      <c r="G362" s="2" t="str">
        <f>_xlfn.XLOOKUP(D362,Products!$A$2:$A$11,Products!$B$2:$B$11)</f>
        <v>Office Chair</v>
      </c>
      <c r="H362" s="2" t="str">
        <f>_xlfn.XLOOKUP(D362,Products!$A$2:$A$11,Products!$C$2:$C$11)</f>
        <v>Office</v>
      </c>
      <c r="I362" s="3">
        <f>_xlfn.XLOOKUP(D362,Products!$A$2:$A$11,Products!$D$2:$D$11)</f>
        <v>180</v>
      </c>
      <c r="J362" s="3" t="str">
        <f>_xlfn.XLOOKUP(C362,Customers!$A$2:$A$101,Customers!$B$2:$B$101)</f>
        <v>Customer 047</v>
      </c>
      <c r="K362" s="3" t="str">
        <f>_xlfn.XLOOKUP(C362,Customers!$A$2:$A$101,Customers!$C$2:$C$101)</f>
        <v>Manchester</v>
      </c>
      <c r="L362" s="3" t="str">
        <f>_xlfn.XLOOKUP(C362,Customers!$A$2:$A$101,Customers!$D$2:$D$101)</f>
        <v>Corporate</v>
      </c>
      <c r="M362" s="3">
        <f t="shared" si="11"/>
        <v>810</v>
      </c>
      <c r="N362" s="3">
        <f>E362*_xlfn.XLOOKUP(D362,Products!$A$2:$A$11,Products!$E$2:$E$11)</f>
        <v>525</v>
      </c>
      <c r="O362" s="3">
        <f t="shared" si="10"/>
        <v>285</v>
      </c>
    </row>
    <row r="363" spans="1:15" x14ac:dyDescent="0.3">
      <c r="A363" t="s">
        <v>472</v>
      </c>
      <c r="B363" s="1">
        <v>45897</v>
      </c>
      <c r="C363" t="s">
        <v>127</v>
      </c>
      <c r="D363" t="s">
        <v>46</v>
      </c>
      <c r="E363">
        <v>5</v>
      </c>
      <c r="F363" s="2">
        <v>0</v>
      </c>
      <c r="G363" s="2" t="str">
        <f>_xlfn.XLOOKUP(D363,Products!$A$2:$A$11,Products!$B$2:$B$11)</f>
        <v>Keyboard</v>
      </c>
      <c r="H363" s="2" t="str">
        <f>_xlfn.XLOOKUP(D363,Products!$A$2:$A$11,Products!$C$2:$C$11)</f>
        <v>Electronics</v>
      </c>
      <c r="I363" s="3">
        <f>_xlfn.XLOOKUP(D363,Products!$A$2:$A$11,Products!$D$2:$D$11)</f>
        <v>45</v>
      </c>
      <c r="J363" s="3" t="str">
        <f>_xlfn.XLOOKUP(C363,Customers!$A$2:$A$101,Customers!$B$2:$B$101)</f>
        <v>Customer 071</v>
      </c>
      <c r="K363" s="3" t="str">
        <f>_xlfn.XLOOKUP(C363,Customers!$A$2:$A$101,Customers!$C$2:$C$101)</f>
        <v>Leeds</v>
      </c>
      <c r="L363" s="3" t="str">
        <f>_xlfn.XLOOKUP(C363,Customers!$A$2:$A$101,Customers!$D$2:$D$101)</f>
        <v>Consumer</v>
      </c>
      <c r="M363" s="3">
        <f t="shared" si="11"/>
        <v>225</v>
      </c>
      <c r="N363" s="3">
        <f>E363*_xlfn.XLOOKUP(D363,Products!$A$2:$A$11,Products!$E$2:$E$11)</f>
        <v>110</v>
      </c>
      <c r="O363" s="3">
        <f t="shared" si="10"/>
        <v>115</v>
      </c>
    </row>
    <row r="364" spans="1:15" x14ac:dyDescent="0.3">
      <c r="A364" t="s">
        <v>473</v>
      </c>
      <c r="B364" s="1">
        <v>45691</v>
      </c>
      <c r="C364" t="s">
        <v>361</v>
      </c>
      <c r="D364" t="s">
        <v>16</v>
      </c>
      <c r="E364">
        <v>4</v>
      </c>
      <c r="F364" s="2">
        <v>0.15</v>
      </c>
      <c r="G364" s="2" t="str">
        <f>_xlfn.XLOOKUP(D364,Products!$A$2:$A$11,Products!$B$2:$B$11)</f>
        <v>Headphones</v>
      </c>
      <c r="H364" s="2" t="str">
        <f>_xlfn.XLOOKUP(D364,Products!$A$2:$A$11,Products!$C$2:$C$11)</f>
        <v>Electronics</v>
      </c>
      <c r="I364" s="3">
        <f>_xlfn.XLOOKUP(D364,Products!$A$2:$A$11,Products!$D$2:$D$11)</f>
        <v>75</v>
      </c>
      <c r="J364" s="3" t="str">
        <f>_xlfn.XLOOKUP(C364,Customers!$A$2:$A$101,Customers!$B$2:$B$101)</f>
        <v>Customer 040</v>
      </c>
      <c r="K364" s="3" t="str">
        <f>_xlfn.XLOOKUP(C364,Customers!$A$2:$A$101,Customers!$C$2:$C$101)</f>
        <v>Sheffield</v>
      </c>
      <c r="L364" s="3" t="str">
        <f>_xlfn.XLOOKUP(C364,Customers!$A$2:$A$101,Customers!$D$2:$D$101)</f>
        <v>Small Business</v>
      </c>
      <c r="M364" s="3">
        <f t="shared" si="11"/>
        <v>255</v>
      </c>
      <c r="N364" s="3">
        <f>E364*_xlfn.XLOOKUP(D364,Products!$A$2:$A$11,Products!$E$2:$E$11)</f>
        <v>160</v>
      </c>
      <c r="O364" s="3">
        <f t="shared" si="10"/>
        <v>95</v>
      </c>
    </row>
    <row r="365" spans="1:15" x14ac:dyDescent="0.3">
      <c r="A365" t="s">
        <v>474</v>
      </c>
      <c r="B365" s="1">
        <v>45867</v>
      </c>
      <c r="C365" t="s">
        <v>35</v>
      </c>
      <c r="D365" t="s">
        <v>30</v>
      </c>
      <c r="E365">
        <v>2</v>
      </c>
      <c r="F365" s="2">
        <v>0.1</v>
      </c>
      <c r="G365" s="2" t="str">
        <f>_xlfn.XLOOKUP(D365,Products!$A$2:$A$11,Products!$B$2:$B$11)</f>
        <v>Wireless Mouse</v>
      </c>
      <c r="H365" s="2" t="str">
        <f>_xlfn.XLOOKUP(D365,Products!$A$2:$A$11,Products!$C$2:$C$11)</f>
        <v>Electronics</v>
      </c>
      <c r="I365" s="3">
        <f>_xlfn.XLOOKUP(D365,Products!$A$2:$A$11,Products!$D$2:$D$11)</f>
        <v>25</v>
      </c>
      <c r="J365" s="3" t="str">
        <f>_xlfn.XLOOKUP(C365,Customers!$A$2:$A$101,Customers!$B$2:$B$101)</f>
        <v>Customer 074</v>
      </c>
      <c r="K365" s="3" t="str">
        <f>_xlfn.XLOOKUP(C365,Customers!$A$2:$A$101,Customers!$C$2:$C$101)</f>
        <v>Manchester</v>
      </c>
      <c r="L365" s="3" t="str">
        <f>_xlfn.XLOOKUP(C365,Customers!$A$2:$A$101,Customers!$D$2:$D$101)</f>
        <v>Corporate</v>
      </c>
      <c r="M365" s="3">
        <f t="shared" si="11"/>
        <v>45</v>
      </c>
      <c r="N365" s="3">
        <f>E365*_xlfn.XLOOKUP(D365,Products!$A$2:$A$11,Products!$E$2:$E$11)</f>
        <v>24</v>
      </c>
      <c r="O365" s="3">
        <f t="shared" si="10"/>
        <v>21</v>
      </c>
    </row>
    <row r="366" spans="1:15" x14ac:dyDescent="0.3">
      <c r="A366" t="s">
        <v>475</v>
      </c>
      <c r="B366" s="1">
        <v>45986</v>
      </c>
      <c r="C366" t="s">
        <v>26</v>
      </c>
      <c r="D366" t="s">
        <v>33</v>
      </c>
      <c r="E366">
        <v>4</v>
      </c>
      <c r="F366" s="2">
        <v>0.1</v>
      </c>
      <c r="G366" s="2" t="str">
        <f>_xlfn.XLOOKUP(D366,Products!$A$2:$A$11,Products!$B$2:$B$11)</f>
        <v>Notebook Pack</v>
      </c>
      <c r="H366" s="2" t="str">
        <f>_xlfn.XLOOKUP(D366,Products!$A$2:$A$11,Products!$C$2:$C$11)</f>
        <v>Stationery</v>
      </c>
      <c r="I366" s="3">
        <f>_xlfn.XLOOKUP(D366,Products!$A$2:$A$11,Products!$D$2:$D$11)</f>
        <v>12</v>
      </c>
      <c r="J366" s="3" t="str">
        <f>_xlfn.XLOOKUP(C366,Customers!$A$2:$A$101,Customers!$B$2:$B$101)</f>
        <v>Customer 010</v>
      </c>
      <c r="K366" s="3" t="str">
        <f>_xlfn.XLOOKUP(C366,Customers!$A$2:$A$101,Customers!$C$2:$C$101)</f>
        <v>London</v>
      </c>
      <c r="L366" s="3" t="str">
        <f>_xlfn.XLOOKUP(C366,Customers!$A$2:$A$101,Customers!$D$2:$D$101)</f>
        <v>Consumer</v>
      </c>
      <c r="M366" s="3">
        <f t="shared" si="11"/>
        <v>43.2</v>
      </c>
      <c r="N366" s="3">
        <f>E366*_xlfn.XLOOKUP(D366,Products!$A$2:$A$11,Products!$E$2:$E$11)</f>
        <v>20</v>
      </c>
      <c r="O366" s="3">
        <f t="shared" si="10"/>
        <v>23.200000000000003</v>
      </c>
    </row>
    <row r="367" spans="1:15" x14ac:dyDescent="0.3">
      <c r="A367" t="s">
        <v>476</v>
      </c>
      <c r="B367" s="1">
        <v>45723</v>
      </c>
      <c r="C367" t="s">
        <v>101</v>
      </c>
      <c r="D367" t="s">
        <v>11</v>
      </c>
      <c r="E367">
        <v>5</v>
      </c>
      <c r="F367" s="2">
        <v>0.05</v>
      </c>
      <c r="G367" s="2" t="str">
        <f>_xlfn.XLOOKUP(D367,Products!$A$2:$A$11,Products!$B$2:$B$11)</f>
        <v>Office Chair</v>
      </c>
      <c r="H367" s="2" t="str">
        <f>_xlfn.XLOOKUP(D367,Products!$A$2:$A$11,Products!$C$2:$C$11)</f>
        <v>Office</v>
      </c>
      <c r="I367" s="3">
        <f>_xlfn.XLOOKUP(D367,Products!$A$2:$A$11,Products!$D$2:$D$11)</f>
        <v>180</v>
      </c>
      <c r="J367" s="3" t="str">
        <f>_xlfn.XLOOKUP(C367,Customers!$A$2:$A$101,Customers!$B$2:$B$101)</f>
        <v>Customer 100</v>
      </c>
      <c r="K367" s="3" t="str">
        <f>_xlfn.XLOOKUP(C367,Customers!$A$2:$A$101,Customers!$C$2:$C$101)</f>
        <v>Birmingham</v>
      </c>
      <c r="L367" s="3" t="str">
        <f>_xlfn.XLOOKUP(C367,Customers!$A$2:$A$101,Customers!$D$2:$D$101)</f>
        <v>Consumer</v>
      </c>
      <c r="M367" s="3">
        <f t="shared" si="11"/>
        <v>855</v>
      </c>
      <c r="N367" s="3">
        <f>E367*_xlfn.XLOOKUP(D367,Products!$A$2:$A$11,Products!$E$2:$E$11)</f>
        <v>525</v>
      </c>
      <c r="O367" s="3">
        <f t="shared" si="10"/>
        <v>330</v>
      </c>
    </row>
    <row r="368" spans="1:15" x14ac:dyDescent="0.3">
      <c r="A368" t="s">
        <v>477</v>
      </c>
      <c r="B368" s="1">
        <v>45724</v>
      </c>
      <c r="C368" t="s">
        <v>116</v>
      </c>
      <c r="D368" t="s">
        <v>11</v>
      </c>
      <c r="E368">
        <v>1</v>
      </c>
      <c r="F368" s="2">
        <v>0</v>
      </c>
      <c r="G368" s="2" t="str">
        <f>_xlfn.XLOOKUP(D368,Products!$A$2:$A$11,Products!$B$2:$B$11)</f>
        <v>Office Chair</v>
      </c>
      <c r="H368" s="2" t="str">
        <f>_xlfn.XLOOKUP(D368,Products!$A$2:$A$11,Products!$C$2:$C$11)</f>
        <v>Office</v>
      </c>
      <c r="I368" s="3">
        <f>_xlfn.XLOOKUP(D368,Products!$A$2:$A$11,Products!$D$2:$D$11)</f>
        <v>180</v>
      </c>
      <c r="J368" s="3" t="str">
        <f>_xlfn.XLOOKUP(C368,Customers!$A$2:$A$101,Customers!$B$2:$B$101)</f>
        <v>Customer 056</v>
      </c>
      <c r="K368" s="3" t="str">
        <f>_xlfn.XLOOKUP(C368,Customers!$A$2:$A$101,Customers!$C$2:$C$101)</f>
        <v>Leeds</v>
      </c>
      <c r="L368" s="3" t="str">
        <f>_xlfn.XLOOKUP(C368,Customers!$A$2:$A$101,Customers!$D$2:$D$101)</f>
        <v>Small Business</v>
      </c>
      <c r="M368" s="3">
        <f t="shared" si="11"/>
        <v>180</v>
      </c>
      <c r="N368" s="3">
        <f>E368*_xlfn.XLOOKUP(D368,Products!$A$2:$A$11,Products!$E$2:$E$11)</f>
        <v>105</v>
      </c>
      <c r="O368" s="3">
        <f t="shared" si="10"/>
        <v>75</v>
      </c>
    </row>
    <row r="369" spans="1:15" x14ac:dyDescent="0.3">
      <c r="A369" t="s">
        <v>478</v>
      </c>
      <c r="B369" s="1">
        <v>45923</v>
      </c>
      <c r="C369" t="s">
        <v>363</v>
      </c>
      <c r="D369" t="s">
        <v>60</v>
      </c>
      <c r="E369">
        <v>2</v>
      </c>
      <c r="F369" s="2">
        <v>0.05</v>
      </c>
      <c r="G369" s="2" t="str">
        <f>_xlfn.XLOOKUP(D369,Products!$A$2:$A$11,Products!$B$2:$B$11)</f>
        <v>Water Bottle</v>
      </c>
      <c r="H369" s="2" t="str">
        <f>_xlfn.XLOOKUP(D369,Products!$A$2:$A$11,Products!$C$2:$C$11)</f>
        <v>Lifestyle</v>
      </c>
      <c r="I369" s="3">
        <f>_xlfn.XLOOKUP(D369,Products!$A$2:$A$11,Products!$D$2:$D$11)</f>
        <v>18</v>
      </c>
      <c r="J369" s="3" t="str">
        <f>_xlfn.XLOOKUP(C369,Customers!$A$2:$A$101,Customers!$B$2:$B$101)</f>
        <v>Customer 020</v>
      </c>
      <c r="K369" s="3" t="str">
        <f>_xlfn.XLOOKUP(C369,Customers!$A$2:$A$101,Customers!$C$2:$C$101)</f>
        <v>Leeds</v>
      </c>
      <c r="L369" s="3" t="str">
        <f>_xlfn.XLOOKUP(C369,Customers!$A$2:$A$101,Customers!$D$2:$D$101)</f>
        <v>Small Business</v>
      </c>
      <c r="M369" s="3">
        <f t="shared" si="11"/>
        <v>34.199999999999996</v>
      </c>
      <c r="N369" s="3">
        <f>E369*_xlfn.XLOOKUP(D369,Products!$A$2:$A$11,Products!$E$2:$E$11)</f>
        <v>14</v>
      </c>
      <c r="O369" s="3">
        <f t="shared" si="10"/>
        <v>20.199999999999996</v>
      </c>
    </row>
    <row r="370" spans="1:15" x14ac:dyDescent="0.3">
      <c r="A370" t="s">
        <v>479</v>
      </c>
      <c r="B370" s="1">
        <v>45823</v>
      </c>
      <c r="C370" t="s">
        <v>272</v>
      </c>
      <c r="D370" t="s">
        <v>22</v>
      </c>
      <c r="E370">
        <v>3</v>
      </c>
      <c r="F370" s="2">
        <v>0.1</v>
      </c>
      <c r="G370" s="2" t="str">
        <f>_xlfn.XLOOKUP(D370,Products!$A$2:$A$11,Products!$B$2:$B$11)</f>
        <v>Desk Lamp</v>
      </c>
      <c r="H370" s="2" t="str">
        <f>_xlfn.XLOOKUP(D370,Products!$A$2:$A$11,Products!$C$2:$C$11)</f>
        <v>Office</v>
      </c>
      <c r="I370" s="3">
        <f>_xlfn.XLOOKUP(D370,Products!$A$2:$A$11,Products!$D$2:$D$11)</f>
        <v>30</v>
      </c>
      <c r="J370" s="3" t="str">
        <f>_xlfn.XLOOKUP(C370,Customers!$A$2:$A$101,Customers!$B$2:$B$101)</f>
        <v>Customer 091</v>
      </c>
      <c r="K370" s="3" t="str">
        <f>_xlfn.XLOOKUP(C370,Customers!$A$2:$A$101,Customers!$C$2:$C$101)</f>
        <v>Sheffield</v>
      </c>
      <c r="L370" s="3" t="str">
        <f>_xlfn.XLOOKUP(C370,Customers!$A$2:$A$101,Customers!$D$2:$D$101)</f>
        <v>Small Business</v>
      </c>
      <c r="M370" s="3">
        <f t="shared" si="11"/>
        <v>81</v>
      </c>
      <c r="N370" s="3">
        <f>E370*_xlfn.XLOOKUP(D370,Products!$A$2:$A$11,Products!$E$2:$E$11)</f>
        <v>45</v>
      </c>
      <c r="O370" s="3">
        <f t="shared" si="10"/>
        <v>36</v>
      </c>
    </row>
    <row r="371" spans="1:15" x14ac:dyDescent="0.3">
      <c r="A371" t="s">
        <v>480</v>
      </c>
      <c r="B371" s="1">
        <v>45698</v>
      </c>
      <c r="C371" t="s">
        <v>170</v>
      </c>
      <c r="D371" t="s">
        <v>22</v>
      </c>
      <c r="E371">
        <v>5</v>
      </c>
      <c r="F371" s="2">
        <v>0.1</v>
      </c>
      <c r="G371" s="2" t="str">
        <f>_xlfn.XLOOKUP(D371,Products!$A$2:$A$11,Products!$B$2:$B$11)</f>
        <v>Desk Lamp</v>
      </c>
      <c r="H371" s="2" t="str">
        <f>_xlfn.XLOOKUP(D371,Products!$A$2:$A$11,Products!$C$2:$C$11)</f>
        <v>Office</v>
      </c>
      <c r="I371" s="3">
        <f>_xlfn.XLOOKUP(D371,Products!$A$2:$A$11,Products!$D$2:$D$11)</f>
        <v>30</v>
      </c>
      <c r="J371" s="3" t="str">
        <f>_xlfn.XLOOKUP(C371,Customers!$A$2:$A$101,Customers!$B$2:$B$101)</f>
        <v>Customer 033</v>
      </c>
      <c r="K371" s="3" t="str">
        <f>_xlfn.XLOOKUP(C371,Customers!$A$2:$A$101,Customers!$C$2:$C$101)</f>
        <v>Bristol</v>
      </c>
      <c r="L371" s="3" t="str">
        <f>_xlfn.XLOOKUP(C371,Customers!$A$2:$A$101,Customers!$D$2:$D$101)</f>
        <v>Consumer</v>
      </c>
      <c r="M371" s="3">
        <f t="shared" si="11"/>
        <v>135</v>
      </c>
      <c r="N371" s="3">
        <f>E371*_xlfn.XLOOKUP(D371,Products!$A$2:$A$11,Products!$E$2:$E$11)</f>
        <v>75</v>
      </c>
      <c r="O371" s="3">
        <f t="shared" si="10"/>
        <v>60</v>
      </c>
    </row>
    <row r="372" spans="1:15" x14ac:dyDescent="0.3">
      <c r="A372" t="s">
        <v>481</v>
      </c>
      <c r="B372" s="1">
        <v>45722</v>
      </c>
      <c r="C372" t="s">
        <v>221</v>
      </c>
      <c r="D372" t="s">
        <v>60</v>
      </c>
      <c r="E372">
        <v>5</v>
      </c>
      <c r="F372" s="2">
        <v>0</v>
      </c>
      <c r="G372" s="2" t="str">
        <f>_xlfn.XLOOKUP(D372,Products!$A$2:$A$11,Products!$B$2:$B$11)</f>
        <v>Water Bottle</v>
      </c>
      <c r="H372" s="2" t="str">
        <f>_xlfn.XLOOKUP(D372,Products!$A$2:$A$11,Products!$C$2:$C$11)</f>
        <v>Lifestyle</v>
      </c>
      <c r="I372" s="3">
        <f>_xlfn.XLOOKUP(D372,Products!$A$2:$A$11,Products!$D$2:$D$11)</f>
        <v>18</v>
      </c>
      <c r="J372" s="3" t="str">
        <f>_xlfn.XLOOKUP(C372,Customers!$A$2:$A$101,Customers!$B$2:$B$101)</f>
        <v>Customer 081</v>
      </c>
      <c r="K372" s="3" t="str">
        <f>_xlfn.XLOOKUP(C372,Customers!$A$2:$A$101,Customers!$C$2:$C$101)</f>
        <v>Sheffield</v>
      </c>
      <c r="L372" s="3" t="str">
        <f>_xlfn.XLOOKUP(C372,Customers!$A$2:$A$101,Customers!$D$2:$D$101)</f>
        <v>Consumer</v>
      </c>
      <c r="M372" s="3">
        <f t="shared" si="11"/>
        <v>90</v>
      </c>
      <c r="N372" s="3">
        <f>E372*_xlfn.XLOOKUP(D372,Products!$A$2:$A$11,Products!$E$2:$E$11)</f>
        <v>35</v>
      </c>
      <c r="O372" s="3">
        <f t="shared" si="10"/>
        <v>55</v>
      </c>
    </row>
    <row r="373" spans="1:15" x14ac:dyDescent="0.3">
      <c r="A373" t="s">
        <v>482</v>
      </c>
      <c r="B373" s="1">
        <v>45915</v>
      </c>
      <c r="C373" t="s">
        <v>111</v>
      </c>
      <c r="D373" t="s">
        <v>46</v>
      </c>
      <c r="E373">
        <v>5</v>
      </c>
      <c r="F373" s="2">
        <v>0.05</v>
      </c>
      <c r="G373" s="2" t="str">
        <f>_xlfn.XLOOKUP(D373,Products!$A$2:$A$11,Products!$B$2:$B$11)</f>
        <v>Keyboard</v>
      </c>
      <c r="H373" s="2" t="str">
        <f>_xlfn.XLOOKUP(D373,Products!$A$2:$A$11,Products!$C$2:$C$11)</f>
        <v>Electronics</v>
      </c>
      <c r="I373" s="3">
        <f>_xlfn.XLOOKUP(D373,Products!$A$2:$A$11,Products!$D$2:$D$11)</f>
        <v>45</v>
      </c>
      <c r="J373" s="3" t="str">
        <f>_xlfn.XLOOKUP(C373,Customers!$A$2:$A$101,Customers!$B$2:$B$101)</f>
        <v>Customer 083</v>
      </c>
      <c r="K373" s="3" t="str">
        <f>_xlfn.XLOOKUP(C373,Customers!$A$2:$A$101,Customers!$C$2:$C$101)</f>
        <v>Birmingham</v>
      </c>
      <c r="L373" s="3" t="str">
        <f>_xlfn.XLOOKUP(C373,Customers!$A$2:$A$101,Customers!$D$2:$D$101)</f>
        <v>Corporate</v>
      </c>
      <c r="M373" s="3">
        <f t="shared" si="11"/>
        <v>213.75</v>
      </c>
      <c r="N373" s="3">
        <f>E373*_xlfn.XLOOKUP(D373,Products!$A$2:$A$11,Products!$E$2:$E$11)</f>
        <v>110</v>
      </c>
      <c r="O373" s="3">
        <f t="shared" si="10"/>
        <v>103.75</v>
      </c>
    </row>
    <row r="374" spans="1:15" x14ac:dyDescent="0.3">
      <c r="A374" t="s">
        <v>483</v>
      </c>
      <c r="B374" s="1">
        <v>45745</v>
      </c>
      <c r="C374" t="s">
        <v>132</v>
      </c>
      <c r="D374" t="s">
        <v>8</v>
      </c>
      <c r="E374">
        <v>5</v>
      </c>
      <c r="F374" s="2">
        <v>0.1</v>
      </c>
      <c r="G374" s="2" t="str">
        <f>_xlfn.XLOOKUP(D374,Products!$A$2:$A$11,Products!$B$2:$B$11)</f>
        <v>USB-C Hub</v>
      </c>
      <c r="H374" s="2" t="str">
        <f>_xlfn.XLOOKUP(D374,Products!$A$2:$A$11,Products!$C$2:$C$11)</f>
        <v>Electronics</v>
      </c>
      <c r="I374" s="3">
        <f>_xlfn.XLOOKUP(D374,Products!$A$2:$A$11,Products!$D$2:$D$11)</f>
        <v>40</v>
      </c>
      <c r="J374" s="3" t="str">
        <f>_xlfn.XLOOKUP(C374,Customers!$A$2:$A$101,Customers!$B$2:$B$101)</f>
        <v>Customer 085</v>
      </c>
      <c r="K374" s="3" t="str">
        <f>_xlfn.XLOOKUP(C374,Customers!$A$2:$A$101,Customers!$C$2:$C$101)</f>
        <v>Birmingham</v>
      </c>
      <c r="L374" s="3" t="str">
        <f>_xlfn.XLOOKUP(C374,Customers!$A$2:$A$101,Customers!$D$2:$D$101)</f>
        <v>Small Business</v>
      </c>
      <c r="M374" s="3">
        <f t="shared" si="11"/>
        <v>180</v>
      </c>
      <c r="N374" s="3">
        <f>E374*_xlfn.XLOOKUP(D374,Products!$A$2:$A$11,Products!$E$2:$E$11)</f>
        <v>95</v>
      </c>
      <c r="O374" s="3">
        <f t="shared" si="10"/>
        <v>85</v>
      </c>
    </row>
    <row r="375" spans="1:15" x14ac:dyDescent="0.3">
      <c r="A375" t="s">
        <v>484</v>
      </c>
      <c r="B375" s="1">
        <v>45946</v>
      </c>
      <c r="C375" t="s">
        <v>173</v>
      </c>
      <c r="D375" t="s">
        <v>27</v>
      </c>
      <c r="E375">
        <v>1</v>
      </c>
      <c r="F375" s="2">
        <v>0</v>
      </c>
      <c r="G375" s="2" t="str">
        <f>_xlfn.XLOOKUP(D375,Products!$A$2:$A$11,Products!$B$2:$B$11)</f>
        <v>Laptop Stand</v>
      </c>
      <c r="H375" s="2" t="str">
        <f>_xlfn.XLOOKUP(D375,Products!$A$2:$A$11,Products!$C$2:$C$11)</f>
        <v>Office</v>
      </c>
      <c r="I375" s="3">
        <f>_xlfn.XLOOKUP(D375,Products!$A$2:$A$11,Products!$D$2:$D$11)</f>
        <v>35</v>
      </c>
      <c r="J375" s="3" t="str">
        <f>_xlfn.XLOOKUP(C375,Customers!$A$2:$A$101,Customers!$B$2:$B$101)</f>
        <v>Customer 006</v>
      </c>
      <c r="K375" s="3" t="str">
        <f>_xlfn.XLOOKUP(C375,Customers!$A$2:$A$101,Customers!$C$2:$C$101)</f>
        <v>Sheffield</v>
      </c>
      <c r="L375" s="3" t="str">
        <f>_xlfn.XLOOKUP(C375,Customers!$A$2:$A$101,Customers!$D$2:$D$101)</f>
        <v>Corporate</v>
      </c>
      <c r="M375" s="3">
        <f t="shared" si="11"/>
        <v>35</v>
      </c>
      <c r="N375" s="3">
        <f>E375*_xlfn.XLOOKUP(D375,Products!$A$2:$A$11,Products!$E$2:$E$11)</f>
        <v>20</v>
      </c>
      <c r="O375" s="3">
        <f t="shared" si="10"/>
        <v>15</v>
      </c>
    </row>
    <row r="376" spans="1:15" x14ac:dyDescent="0.3">
      <c r="A376" t="s">
        <v>485</v>
      </c>
      <c r="B376" s="1">
        <v>45986</v>
      </c>
      <c r="C376" t="s">
        <v>486</v>
      </c>
      <c r="D376" t="s">
        <v>8</v>
      </c>
      <c r="E376">
        <v>3</v>
      </c>
      <c r="F376" s="2">
        <v>0.05</v>
      </c>
      <c r="G376" s="2" t="str">
        <f>_xlfn.XLOOKUP(D376,Products!$A$2:$A$11,Products!$B$2:$B$11)</f>
        <v>USB-C Hub</v>
      </c>
      <c r="H376" s="2" t="str">
        <f>_xlfn.XLOOKUP(D376,Products!$A$2:$A$11,Products!$C$2:$C$11)</f>
        <v>Electronics</v>
      </c>
      <c r="I376" s="3">
        <f>_xlfn.XLOOKUP(D376,Products!$A$2:$A$11,Products!$D$2:$D$11)</f>
        <v>40</v>
      </c>
      <c r="J376" s="3" t="str">
        <f>_xlfn.XLOOKUP(C376,Customers!$A$2:$A$101,Customers!$B$2:$B$101)</f>
        <v>Customer 099</v>
      </c>
      <c r="K376" s="3" t="str">
        <f>_xlfn.XLOOKUP(C376,Customers!$A$2:$A$101,Customers!$C$2:$C$101)</f>
        <v>London</v>
      </c>
      <c r="L376" s="3" t="str">
        <f>_xlfn.XLOOKUP(C376,Customers!$A$2:$A$101,Customers!$D$2:$D$101)</f>
        <v>Small Business</v>
      </c>
      <c r="M376" s="3">
        <f t="shared" si="11"/>
        <v>114</v>
      </c>
      <c r="N376" s="3">
        <f>E376*_xlfn.XLOOKUP(D376,Products!$A$2:$A$11,Products!$E$2:$E$11)</f>
        <v>57</v>
      </c>
      <c r="O376" s="3">
        <f t="shared" si="10"/>
        <v>57</v>
      </c>
    </row>
    <row r="377" spans="1:15" x14ac:dyDescent="0.3">
      <c r="A377" t="s">
        <v>487</v>
      </c>
      <c r="B377" s="1">
        <v>45950</v>
      </c>
      <c r="C377" t="s">
        <v>188</v>
      </c>
      <c r="D377" t="s">
        <v>8</v>
      </c>
      <c r="E377">
        <v>1</v>
      </c>
      <c r="F377" s="2">
        <v>0.15</v>
      </c>
      <c r="G377" s="2" t="str">
        <f>_xlfn.XLOOKUP(D377,Products!$A$2:$A$11,Products!$B$2:$B$11)</f>
        <v>USB-C Hub</v>
      </c>
      <c r="H377" s="2" t="str">
        <f>_xlfn.XLOOKUP(D377,Products!$A$2:$A$11,Products!$C$2:$C$11)</f>
        <v>Electronics</v>
      </c>
      <c r="I377" s="3">
        <f>_xlfn.XLOOKUP(D377,Products!$A$2:$A$11,Products!$D$2:$D$11)</f>
        <v>40</v>
      </c>
      <c r="J377" s="3" t="str">
        <f>_xlfn.XLOOKUP(C377,Customers!$A$2:$A$101,Customers!$B$2:$B$101)</f>
        <v>Customer 054</v>
      </c>
      <c r="K377" s="3" t="str">
        <f>_xlfn.XLOOKUP(C377,Customers!$A$2:$A$101,Customers!$C$2:$C$101)</f>
        <v>London</v>
      </c>
      <c r="L377" s="3" t="str">
        <f>_xlfn.XLOOKUP(C377,Customers!$A$2:$A$101,Customers!$D$2:$D$101)</f>
        <v>Consumer</v>
      </c>
      <c r="M377" s="3">
        <f t="shared" si="11"/>
        <v>34</v>
      </c>
      <c r="N377" s="3">
        <f>E377*_xlfn.XLOOKUP(D377,Products!$A$2:$A$11,Products!$E$2:$E$11)</f>
        <v>19</v>
      </c>
      <c r="O377" s="3">
        <f t="shared" si="10"/>
        <v>15</v>
      </c>
    </row>
    <row r="378" spans="1:15" x14ac:dyDescent="0.3">
      <c r="A378" t="s">
        <v>488</v>
      </c>
      <c r="B378" s="1">
        <v>45979</v>
      </c>
      <c r="C378" t="s">
        <v>240</v>
      </c>
      <c r="D378" t="s">
        <v>60</v>
      </c>
      <c r="E378">
        <v>3</v>
      </c>
      <c r="F378" s="2">
        <v>0.15</v>
      </c>
      <c r="G378" s="2" t="str">
        <f>_xlfn.XLOOKUP(D378,Products!$A$2:$A$11,Products!$B$2:$B$11)</f>
        <v>Water Bottle</v>
      </c>
      <c r="H378" s="2" t="str">
        <f>_xlfn.XLOOKUP(D378,Products!$A$2:$A$11,Products!$C$2:$C$11)</f>
        <v>Lifestyle</v>
      </c>
      <c r="I378" s="3">
        <f>_xlfn.XLOOKUP(D378,Products!$A$2:$A$11,Products!$D$2:$D$11)</f>
        <v>18</v>
      </c>
      <c r="J378" s="3" t="str">
        <f>_xlfn.XLOOKUP(C378,Customers!$A$2:$A$101,Customers!$B$2:$B$101)</f>
        <v>Customer 070</v>
      </c>
      <c r="K378" s="3" t="str">
        <f>_xlfn.XLOOKUP(C378,Customers!$A$2:$A$101,Customers!$C$2:$C$101)</f>
        <v>Manchester</v>
      </c>
      <c r="L378" s="3" t="str">
        <f>_xlfn.XLOOKUP(C378,Customers!$A$2:$A$101,Customers!$D$2:$D$101)</f>
        <v>Corporate</v>
      </c>
      <c r="M378" s="3">
        <f t="shared" si="11"/>
        <v>45.9</v>
      </c>
      <c r="N378" s="3">
        <f>E378*_xlfn.XLOOKUP(D378,Products!$A$2:$A$11,Products!$E$2:$E$11)</f>
        <v>21</v>
      </c>
      <c r="O378" s="3">
        <f t="shared" si="10"/>
        <v>24.9</v>
      </c>
    </row>
    <row r="379" spans="1:15" x14ac:dyDescent="0.3">
      <c r="A379" t="s">
        <v>489</v>
      </c>
      <c r="B379" s="1">
        <v>45783</v>
      </c>
      <c r="C379" t="s">
        <v>233</v>
      </c>
      <c r="D379" t="s">
        <v>16</v>
      </c>
      <c r="E379">
        <v>3</v>
      </c>
      <c r="F379" s="2">
        <v>0.15</v>
      </c>
      <c r="G379" s="2" t="str">
        <f>_xlfn.XLOOKUP(D379,Products!$A$2:$A$11,Products!$B$2:$B$11)</f>
        <v>Headphones</v>
      </c>
      <c r="H379" s="2" t="str">
        <f>_xlfn.XLOOKUP(D379,Products!$A$2:$A$11,Products!$C$2:$C$11)</f>
        <v>Electronics</v>
      </c>
      <c r="I379" s="3">
        <f>_xlfn.XLOOKUP(D379,Products!$A$2:$A$11,Products!$D$2:$D$11)</f>
        <v>75</v>
      </c>
      <c r="J379" s="3" t="str">
        <f>_xlfn.XLOOKUP(C379,Customers!$A$2:$A$101,Customers!$B$2:$B$101)</f>
        <v>Customer 088</v>
      </c>
      <c r="K379" s="3" t="str">
        <f>_xlfn.XLOOKUP(C379,Customers!$A$2:$A$101,Customers!$C$2:$C$101)</f>
        <v>Sheffield</v>
      </c>
      <c r="L379" s="3" t="str">
        <f>_xlfn.XLOOKUP(C379,Customers!$A$2:$A$101,Customers!$D$2:$D$101)</f>
        <v>Small Business</v>
      </c>
      <c r="M379" s="3">
        <f t="shared" si="11"/>
        <v>191.25</v>
      </c>
      <c r="N379" s="3">
        <f>E379*_xlfn.XLOOKUP(D379,Products!$A$2:$A$11,Products!$E$2:$E$11)</f>
        <v>120</v>
      </c>
      <c r="O379" s="3">
        <f t="shared" si="10"/>
        <v>71.25</v>
      </c>
    </row>
    <row r="380" spans="1:15" x14ac:dyDescent="0.3">
      <c r="A380" t="s">
        <v>490</v>
      </c>
      <c r="B380" s="1">
        <v>45695</v>
      </c>
      <c r="C380" t="s">
        <v>151</v>
      </c>
      <c r="D380" t="s">
        <v>27</v>
      </c>
      <c r="E380">
        <v>2</v>
      </c>
      <c r="F380" s="2">
        <v>0.15</v>
      </c>
      <c r="G380" s="2" t="str">
        <f>_xlfn.XLOOKUP(D380,Products!$A$2:$A$11,Products!$B$2:$B$11)</f>
        <v>Laptop Stand</v>
      </c>
      <c r="H380" s="2" t="str">
        <f>_xlfn.XLOOKUP(D380,Products!$A$2:$A$11,Products!$C$2:$C$11)</f>
        <v>Office</v>
      </c>
      <c r="I380" s="3">
        <f>_xlfn.XLOOKUP(D380,Products!$A$2:$A$11,Products!$D$2:$D$11)</f>
        <v>35</v>
      </c>
      <c r="J380" s="3" t="str">
        <f>_xlfn.XLOOKUP(C380,Customers!$A$2:$A$101,Customers!$B$2:$B$101)</f>
        <v>Customer 089</v>
      </c>
      <c r="K380" s="3" t="str">
        <f>_xlfn.XLOOKUP(C380,Customers!$A$2:$A$101,Customers!$C$2:$C$101)</f>
        <v>Bristol</v>
      </c>
      <c r="L380" s="3" t="str">
        <f>_xlfn.XLOOKUP(C380,Customers!$A$2:$A$101,Customers!$D$2:$D$101)</f>
        <v>Consumer</v>
      </c>
      <c r="M380" s="3">
        <f t="shared" si="11"/>
        <v>59.5</v>
      </c>
      <c r="N380" s="3">
        <f>E380*_xlfn.XLOOKUP(D380,Products!$A$2:$A$11,Products!$E$2:$E$11)</f>
        <v>40</v>
      </c>
      <c r="O380" s="3">
        <f t="shared" si="10"/>
        <v>19.5</v>
      </c>
    </row>
    <row r="381" spans="1:15" x14ac:dyDescent="0.3">
      <c r="A381" t="s">
        <v>491</v>
      </c>
      <c r="B381" s="1">
        <v>45870</v>
      </c>
      <c r="C381" t="s">
        <v>54</v>
      </c>
      <c r="D381" t="s">
        <v>33</v>
      </c>
      <c r="E381">
        <v>2</v>
      </c>
      <c r="F381" s="2">
        <v>0.1</v>
      </c>
      <c r="G381" s="2" t="str">
        <f>_xlfn.XLOOKUP(D381,Products!$A$2:$A$11,Products!$B$2:$B$11)</f>
        <v>Notebook Pack</v>
      </c>
      <c r="H381" s="2" t="str">
        <f>_xlfn.XLOOKUP(D381,Products!$A$2:$A$11,Products!$C$2:$C$11)</f>
        <v>Stationery</v>
      </c>
      <c r="I381" s="3">
        <f>_xlfn.XLOOKUP(D381,Products!$A$2:$A$11,Products!$D$2:$D$11)</f>
        <v>12</v>
      </c>
      <c r="J381" s="3" t="str">
        <f>_xlfn.XLOOKUP(C381,Customers!$A$2:$A$101,Customers!$B$2:$B$101)</f>
        <v>Customer 062</v>
      </c>
      <c r="K381" s="3" t="str">
        <f>_xlfn.XLOOKUP(C381,Customers!$A$2:$A$101,Customers!$C$2:$C$101)</f>
        <v>Leeds</v>
      </c>
      <c r="L381" s="3" t="str">
        <f>_xlfn.XLOOKUP(C381,Customers!$A$2:$A$101,Customers!$D$2:$D$101)</f>
        <v>Consumer</v>
      </c>
      <c r="M381" s="3">
        <f t="shared" si="11"/>
        <v>21.6</v>
      </c>
      <c r="N381" s="3">
        <f>E381*_xlfn.XLOOKUP(D381,Products!$A$2:$A$11,Products!$E$2:$E$11)</f>
        <v>10</v>
      </c>
      <c r="O381" s="3">
        <f t="shared" si="10"/>
        <v>11.600000000000001</v>
      </c>
    </row>
    <row r="382" spans="1:15" x14ac:dyDescent="0.3">
      <c r="A382" t="s">
        <v>492</v>
      </c>
      <c r="B382" s="1">
        <v>45968</v>
      </c>
      <c r="C382" t="s">
        <v>135</v>
      </c>
      <c r="D382" t="s">
        <v>19</v>
      </c>
      <c r="E382">
        <v>3</v>
      </c>
      <c r="F382" s="2">
        <v>0.1</v>
      </c>
      <c r="G382" s="2" t="str">
        <f>_xlfn.XLOOKUP(D382,Products!$A$2:$A$11,Products!$B$2:$B$11)</f>
        <v>Backpack</v>
      </c>
      <c r="H382" s="2" t="str">
        <f>_xlfn.XLOOKUP(D382,Products!$A$2:$A$11,Products!$C$2:$C$11)</f>
        <v>Lifestyle</v>
      </c>
      <c r="I382" s="3">
        <f>_xlfn.XLOOKUP(D382,Products!$A$2:$A$11,Products!$D$2:$D$11)</f>
        <v>55</v>
      </c>
      <c r="J382" s="3" t="str">
        <f>_xlfn.XLOOKUP(C382,Customers!$A$2:$A$101,Customers!$B$2:$B$101)</f>
        <v>Customer 019</v>
      </c>
      <c r="K382" s="3" t="str">
        <f>_xlfn.XLOOKUP(C382,Customers!$A$2:$A$101,Customers!$C$2:$C$101)</f>
        <v>Manchester</v>
      </c>
      <c r="L382" s="3" t="str">
        <f>_xlfn.XLOOKUP(C382,Customers!$A$2:$A$101,Customers!$D$2:$D$101)</f>
        <v>Corporate</v>
      </c>
      <c r="M382" s="3">
        <f t="shared" si="11"/>
        <v>148.5</v>
      </c>
      <c r="N382" s="3">
        <f>E382*_xlfn.XLOOKUP(D382,Products!$A$2:$A$11,Products!$E$2:$E$11)</f>
        <v>81</v>
      </c>
      <c r="O382" s="3">
        <f t="shared" si="10"/>
        <v>67.5</v>
      </c>
    </row>
    <row r="383" spans="1:15" x14ac:dyDescent="0.3">
      <c r="A383" t="s">
        <v>493</v>
      </c>
      <c r="B383" s="1">
        <v>45862</v>
      </c>
      <c r="C383" t="s">
        <v>74</v>
      </c>
      <c r="D383" t="s">
        <v>19</v>
      </c>
      <c r="E383">
        <v>5</v>
      </c>
      <c r="F383" s="2">
        <v>0</v>
      </c>
      <c r="G383" s="2" t="str">
        <f>_xlfn.XLOOKUP(D383,Products!$A$2:$A$11,Products!$B$2:$B$11)</f>
        <v>Backpack</v>
      </c>
      <c r="H383" s="2" t="str">
        <f>_xlfn.XLOOKUP(D383,Products!$A$2:$A$11,Products!$C$2:$C$11)</f>
        <v>Lifestyle</v>
      </c>
      <c r="I383" s="3">
        <f>_xlfn.XLOOKUP(D383,Products!$A$2:$A$11,Products!$D$2:$D$11)</f>
        <v>55</v>
      </c>
      <c r="J383" s="3" t="str">
        <f>_xlfn.XLOOKUP(C383,Customers!$A$2:$A$101,Customers!$B$2:$B$101)</f>
        <v>Customer 017</v>
      </c>
      <c r="K383" s="3" t="str">
        <f>_xlfn.XLOOKUP(C383,Customers!$A$2:$A$101,Customers!$C$2:$C$101)</f>
        <v>Leeds</v>
      </c>
      <c r="L383" s="3" t="str">
        <f>_xlfn.XLOOKUP(C383,Customers!$A$2:$A$101,Customers!$D$2:$D$101)</f>
        <v>Corporate</v>
      </c>
      <c r="M383" s="3">
        <f t="shared" si="11"/>
        <v>275</v>
      </c>
      <c r="N383" s="3">
        <f>E383*_xlfn.XLOOKUP(D383,Products!$A$2:$A$11,Products!$E$2:$E$11)</f>
        <v>135</v>
      </c>
      <c r="O383" s="3">
        <f t="shared" si="10"/>
        <v>140</v>
      </c>
    </row>
    <row r="384" spans="1:15" x14ac:dyDescent="0.3">
      <c r="A384" t="s">
        <v>494</v>
      </c>
      <c r="B384" s="1">
        <v>45821</v>
      </c>
      <c r="C384" t="s">
        <v>7</v>
      </c>
      <c r="D384" t="s">
        <v>33</v>
      </c>
      <c r="E384">
        <v>1</v>
      </c>
      <c r="F384" s="2">
        <v>0.1</v>
      </c>
      <c r="G384" s="2" t="str">
        <f>_xlfn.XLOOKUP(D384,Products!$A$2:$A$11,Products!$B$2:$B$11)</f>
        <v>Notebook Pack</v>
      </c>
      <c r="H384" s="2" t="str">
        <f>_xlfn.XLOOKUP(D384,Products!$A$2:$A$11,Products!$C$2:$C$11)</f>
        <v>Stationery</v>
      </c>
      <c r="I384" s="3">
        <f>_xlfn.XLOOKUP(D384,Products!$A$2:$A$11,Products!$D$2:$D$11)</f>
        <v>12</v>
      </c>
      <c r="J384" s="3" t="str">
        <f>_xlfn.XLOOKUP(C384,Customers!$A$2:$A$101,Customers!$B$2:$B$101)</f>
        <v>Customer 031</v>
      </c>
      <c r="K384" s="3" t="str">
        <f>_xlfn.XLOOKUP(C384,Customers!$A$2:$A$101,Customers!$C$2:$C$101)</f>
        <v>Birmingham</v>
      </c>
      <c r="L384" s="3" t="str">
        <f>_xlfn.XLOOKUP(C384,Customers!$A$2:$A$101,Customers!$D$2:$D$101)</f>
        <v>Corporate</v>
      </c>
      <c r="M384" s="3">
        <f t="shared" si="11"/>
        <v>10.8</v>
      </c>
      <c r="N384" s="3">
        <f>E384*_xlfn.XLOOKUP(D384,Products!$A$2:$A$11,Products!$E$2:$E$11)</f>
        <v>5</v>
      </c>
      <c r="O384" s="3">
        <f t="shared" si="10"/>
        <v>5.8000000000000007</v>
      </c>
    </row>
    <row r="385" spans="1:15" x14ac:dyDescent="0.3">
      <c r="A385" t="s">
        <v>495</v>
      </c>
      <c r="B385" s="1">
        <v>45888</v>
      </c>
      <c r="C385" t="s">
        <v>21</v>
      </c>
      <c r="D385" t="s">
        <v>46</v>
      </c>
      <c r="E385">
        <v>1</v>
      </c>
      <c r="F385" s="2">
        <v>0</v>
      </c>
      <c r="G385" s="2" t="str">
        <f>_xlfn.XLOOKUP(D385,Products!$A$2:$A$11,Products!$B$2:$B$11)</f>
        <v>Keyboard</v>
      </c>
      <c r="H385" s="2" t="str">
        <f>_xlfn.XLOOKUP(D385,Products!$A$2:$A$11,Products!$C$2:$C$11)</f>
        <v>Electronics</v>
      </c>
      <c r="I385" s="3">
        <f>_xlfn.XLOOKUP(D385,Products!$A$2:$A$11,Products!$D$2:$D$11)</f>
        <v>45</v>
      </c>
      <c r="J385" s="3" t="str">
        <f>_xlfn.XLOOKUP(C385,Customers!$A$2:$A$101,Customers!$B$2:$B$101)</f>
        <v>Customer 032</v>
      </c>
      <c r="K385" s="3" t="str">
        <f>_xlfn.XLOOKUP(C385,Customers!$A$2:$A$101,Customers!$C$2:$C$101)</f>
        <v>Bristol</v>
      </c>
      <c r="L385" s="3" t="str">
        <f>_xlfn.XLOOKUP(C385,Customers!$A$2:$A$101,Customers!$D$2:$D$101)</f>
        <v>Small Business</v>
      </c>
      <c r="M385" s="3">
        <f t="shared" si="11"/>
        <v>45</v>
      </c>
      <c r="N385" s="3">
        <f>E385*_xlfn.XLOOKUP(D385,Products!$A$2:$A$11,Products!$E$2:$E$11)</f>
        <v>22</v>
      </c>
      <c r="O385" s="3">
        <f t="shared" si="10"/>
        <v>23</v>
      </c>
    </row>
    <row r="386" spans="1:15" x14ac:dyDescent="0.3">
      <c r="A386" t="s">
        <v>496</v>
      </c>
      <c r="B386" s="1">
        <v>45806</v>
      </c>
      <c r="C386" t="s">
        <v>161</v>
      </c>
      <c r="D386" t="s">
        <v>8</v>
      </c>
      <c r="E386">
        <v>4</v>
      </c>
      <c r="F386" s="2">
        <v>0.05</v>
      </c>
      <c r="G386" s="2" t="str">
        <f>_xlfn.XLOOKUP(D386,Products!$A$2:$A$11,Products!$B$2:$B$11)</f>
        <v>USB-C Hub</v>
      </c>
      <c r="H386" s="2" t="str">
        <f>_xlfn.XLOOKUP(D386,Products!$A$2:$A$11,Products!$C$2:$C$11)</f>
        <v>Electronics</v>
      </c>
      <c r="I386" s="3">
        <f>_xlfn.XLOOKUP(D386,Products!$A$2:$A$11,Products!$D$2:$D$11)</f>
        <v>40</v>
      </c>
      <c r="J386" s="3" t="str">
        <f>_xlfn.XLOOKUP(C386,Customers!$A$2:$A$101,Customers!$B$2:$B$101)</f>
        <v>Customer 050</v>
      </c>
      <c r="K386" s="3" t="str">
        <f>_xlfn.XLOOKUP(C386,Customers!$A$2:$A$101,Customers!$C$2:$C$101)</f>
        <v>Leeds</v>
      </c>
      <c r="L386" s="3" t="str">
        <f>_xlfn.XLOOKUP(C386,Customers!$A$2:$A$101,Customers!$D$2:$D$101)</f>
        <v>Small Business</v>
      </c>
      <c r="M386" s="3">
        <f t="shared" si="11"/>
        <v>152</v>
      </c>
      <c r="N386" s="3">
        <f>E386*_xlfn.XLOOKUP(D386,Products!$A$2:$A$11,Products!$E$2:$E$11)</f>
        <v>76</v>
      </c>
      <c r="O386" s="3">
        <f t="shared" si="10"/>
        <v>76</v>
      </c>
    </row>
    <row r="387" spans="1:15" x14ac:dyDescent="0.3">
      <c r="A387" t="s">
        <v>497</v>
      </c>
      <c r="B387" s="1">
        <v>45739</v>
      </c>
      <c r="C387" t="s">
        <v>168</v>
      </c>
      <c r="D387" t="s">
        <v>8</v>
      </c>
      <c r="E387">
        <v>3</v>
      </c>
      <c r="F387" s="2">
        <v>0.05</v>
      </c>
      <c r="G387" s="2" t="str">
        <f>_xlfn.XLOOKUP(D387,Products!$A$2:$A$11,Products!$B$2:$B$11)</f>
        <v>USB-C Hub</v>
      </c>
      <c r="H387" s="2" t="str">
        <f>_xlfn.XLOOKUP(D387,Products!$A$2:$A$11,Products!$C$2:$C$11)</f>
        <v>Electronics</v>
      </c>
      <c r="I387" s="3">
        <f>_xlfn.XLOOKUP(D387,Products!$A$2:$A$11,Products!$D$2:$D$11)</f>
        <v>40</v>
      </c>
      <c r="J387" s="3" t="str">
        <f>_xlfn.XLOOKUP(C387,Customers!$A$2:$A$101,Customers!$B$2:$B$101)</f>
        <v>Customer 042</v>
      </c>
      <c r="K387" s="3" t="str">
        <f>_xlfn.XLOOKUP(C387,Customers!$A$2:$A$101,Customers!$C$2:$C$101)</f>
        <v>Birmingham</v>
      </c>
      <c r="L387" s="3" t="str">
        <f>_xlfn.XLOOKUP(C387,Customers!$A$2:$A$101,Customers!$D$2:$D$101)</f>
        <v>Consumer</v>
      </c>
      <c r="M387" s="3">
        <f t="shared" si="11"/>
        <v>114</v>
      </c>
      <c r="N387" s="3">
        <f>E387*_xlfn.XLOOKUP(D387,Products!$A$2:$A$11,Products!$E$2:$E$11)</f>
        <v>57</v>
      </c>
      <c r="O387" s="3">
        <f t="shared" ref="O387:O450" si="12">M387-N387</f>
        <v>57</v>
      </c>
    </row>
    <row r="388" spans="1:15" x14ac:dyDescent="0.3">
      <c r="A388" t="s">
        <v>498</v>
      </c>
      <c r="B388" s="1">
        <v>45739</v>
      </c>
      <c r="C388" t="s">
        <v>198</v>
      </c>
      <c r="D388" t="s">
        <v>11</v>
      </c>
      <c r="E388">
        <v>4</v>
      </c>
      <c r="F388" s="2">
        <v>0.15</v>
      </c>
      <c r="G388" s="2" t="str">
        <f>_xlfn.XLOOKUP(D388,Products!$A$2:$A$11,Products!$B$2:$B$11)</f>
        <v>Office Chair</v>
      </c>
      <c r="H388" s="2" t="str">
        <f>_xlfn.XLOOKUP(D388,Products!$A$2:$A$11,Products!$C$2:$C$11)</f>
        <v>Office</v>
      </c>
      <c r="I388" s="3">
        <f>_xlfn.XLOOKUP(D388,Products!$A$2:$A$11,Products!$D$2:$D$11)</f>
        <v>180</v>
      </c>
      <c r="J388" s="3" t="str">
        <f>_xlfn.XLOOKUP(C388,Customers!$A$2:$A$101,Customers!$B$2:$B$101)</f>
        <v>Customer 064</v>
      </c>
      <c r="K388" s="3" t="str">
        <f>_xlfn.XLOOKUP(C388,Customers!$A$2:$A$101,Customers!$C$2:$C$101)</f>
        <v>Manchester</v>
      </c>
      <c r="L388" s="3" t="str">
        <f>_xlfn.XLOOKUP(C388,Customers!$A$2:$A$101,Customers!$D$2:$D$101)</f>
        <v>Corporate</v>
      </c>
      <c r="M388" s="3">
        <f t="shared" ref="M388:M451" si="13">E388*I388*(1-F388)</f>
        <v>612</v>
      </c>
      <c r="N388" s="3">
        <f>E388*_xlfn.XLOOKUP(D388,Products!$A$2:$A$11,Products!$E$2:$E$11)</f>
        <v>420</v>
      </c>
      <c r="O388" s="3">
        <f t="shared" si="12"/>
        <v>192</v>
      </c>
    </row>
    <row r="389" spans="1:15" x14ac:dyDescent="0.3">
      <c r="A389" t="s">
        <v>499</v>
      </c>
      <c r="B389" s="1">
        <v>45815</v>
      </c>
      <c r="C389" t="s">
        <v>198</v>
      </c>
      <c r="D389" t="s">
        <v>27</v>
      </c>
      <c r="E389">
        <v>1</v>
      </c>
      <c r="F389" s="2">
        <v>0.15</v>
      </c>
      <c r="G389" s="2" t="str">
        <f>_xlfn.XLOOKUP(D389,Products!$A$2:$A$11,Products!$B$2:$B$11)</f>
        <v>Laptop Stand</v>
      </c>
      <c r="H389" s="2" t="str">
        <f>_xlfn.XLOOKUP(D389,Products!$A$2:$A$11,Products!$C$2:$C$11)</f>
        <v>Office</v>
      </c>
      <c r="I389" s="3">
        <f>_xlfn.XLOOKUP(D389,Products!$A$2:$A$11,Products!$D$2:$D$11)</f>
        <v>35</v>
      </c>
      <c r="J389" s="3" t="str">
        <f>_xlfn.XLOOKUP(C389,Customers!$A$2:$A$101,Customers!$B$2:$B$101)</f>
        <v>Customer 064</v>
      </c>
      <c r="K389" s="3" t="str">
        <f>_xlfn.XLOOKUP(C389,Customers!$A$2:$A$101,Customers!$C$2:$C$101)</f>
        <v>Manchester</v>
      </c>
      <c r="L389" s="3" t="str">
        <f>_xlfn.XLOOKUP(C389,Customers!$A$2:$A$101,Customers!$D$2:$D$101)</f>
        <v>Corporate</v>
      </c>
      <c r="M389" s="3">
        <f t="shared" si="13"/>
        <v>29.75</v>
      </c>
      <c r="N389" s="3">
        <f>E389*_xlfn.XLOOKUP(D389,Products!$A$2:$A$11,Products!$E$2:$E$11)</f>
        <v>20</v>
      </c>
      <c r="O389" s="3">
        <f t="shared" si="12"/>
        <v>9.75</v>
      </c>
    </row>
    <row r="390" spans="1:15" x14ac:dyDescent="0.3">
      <c r="A390" t="s">
        <v>500</v>
      </c>
      <c r="B390" s="1">
        <v>45916</v>
      </c>
      <c r="C390" t="s">
        <v>318</v>
      </c>
      <c r="D390" t="s">
        <v>22</v>
      </c>
      <c r="E390">
        <v>2</v>
      </c>
      <c r="F390" s="2">
        <v>0.1</v>
      </c>
      <c r="G390" s="2" t="str">
        <f>_xlfn.XLOOKUP(D390,Products!$A$2:$A$11,Products!$B$2:$B$11)</f>
        <v>Desk Lamp</v>
      </c>
      <c r="H390" s="2" t="str">
        <f>_xlfn.XLOOKUP(D390,Products!$A$2:$A$11,Products!$C$2:$C$11)</f>
        <v>Office</v>
      </c>
      <c r="I390" s="3">
        <f>_xlfn.XLOOKUP(D390,Products!$A$2:$A$11,Products!$D$2:$D$11)</f>
        <v>30</v>
      </c>
      <c r="J390" s="3" t="str">
        <f>_xlfn.XLOOKUP(C390,Customers!$A$2:$A$101,Customers!$B$2:$B$101)</f>
        <v>Customer 059</v>
      </c>
      <c r="K390" s="3" t="str">
        <f>_xlfn.XLOOKUP(C390,Customers!$A$2:$A$101,Customers!$C$2:$C$101)</f>
        <v>Birmingham</v>
      </c>
      <c r="L390" s="3" t="str">
        <f>_xlfn.XLOOKUP(C390,Customers!$A$2:$A$101,Customers!$D$2:$D$101)</f>
        <v>Consumer</v>
      </c>
      <c r="M390" s="3">
        <f t="shared" si="13"/>
        <v>54</v>
      </c>
      <c r="N390" s="3">
        <f>E390*_xlfn.XLOOKUP(D390,Products!$A$2:$A$11,Products!$E$2:$E$11)</f>
        <v>30</v>
      </c>
      <c r="O390" s="3">
        <f t="shared" si="12"/>
        <v>24</v>
      </c>
    </row>
    <row r="391" spans="1:15" x14ac:dyDescent="0.3">
      <c r="A391" t="s">
        <v>501</v>
      </c>
      <c r="B391" s="1">
        <v>45682</v>
      </c>
      <c r="C391" t="s">
        <v>64</v>
      </c>
      <c r="D391" t="s">
        <v>60</v>
      </c>
      <c r="E391">
        <v>4</v>
      </c>
      <c r="F391" s="2">
        <v>0.15</v>
      </c>
      <c r="G391" s="2" t="str">
        <f>_xlfn.XLOOKUP(D391,Products!$A$2:$A$11,Products!$B$2:$B$11)</f>
        <v>Water Bottle</v>
      </c>
      <c r="H391" s="2" t="str">
        <f>_xlfn.XLOOKUP(D391,Products!$A$2:$A$11,Products!$C$2:$C$11)</f>
        <v>Lifestyle</v>
      </c>
      <c r="I391" s="3">
        <f>_xlfn.XLOOKUP(D391,Products!$A$2:$A$11,Products!$D$2:$D$11)</f>
        <v>18</v>
      </c>
      <c r="J391" s="3" t="str">
        <f>_xlfn.XLOOKUP(C391,Customers!$A$2:$A$101,Customers!$B$2:$B$101)</f>
        <v>Customer 007</v>
      </c>
      <c r="K391" s="3" t="str">
        <f>_xlfn.XLOOKUP(C391,Customers!$A$2:$A$101,Customers!$C$2:$C$101)</f>
        <v>Bristol</v>
      </c>
      <c r="L391" s="3" t="str">
        <f>_xlfn.XLOOKUP(C391,Customers!$A$2:$A$101,Customers!$D$2:$D$101)</f>
        <v>Consumer</v>
      </c>
      <c r="M391" s="3">
        <f t="shared" si="13"/>
        <v>61.199999999999996</v>
      </c>
      <c r="N391" s="3">
        <f>E391*_xlfn.XLOOKUP(D391,Products!$A$2:$A$11,Products!$E$2:$E$11)</f>
        <v>28</v>
      </c>
      <c r="O391" s="3">
        <f t="shared" si="12"/>
        <v>33.199999999999996</v>
      </c>
    </row>
    <row r="392" spans="1:15" x14ac:dyDescent="0.3">
      <c r="A392" t="s">
        <v>502</v>
      </c>
      <c r="B392" s="1">
        <v>45804</v>
      </c>
      <c r="C392" t="s">
        <v>78</v>
      </c>
      <c r="D392" t="s">
        <v>27</v>
      </c>
      <c r="E392">
        <v>1</v>
      </c>
      <c r="F392" s="2">
        <v>0.15</v>
      </c>
      <c r="G392" s="2" t="str">
        <f>_xlfn.XLOOKUP(D392,Products!$A$2:$A$11,Products!$B$2:$B$11)</f>
        <v>Laptop Stand</v>
      </c>
      <c r="H392" s="2" t="str">
        <f>_xlfn.XLOOKUP(D392,Products!$A$2:$A$11,Products!$C$2:$C$11)</f>
        <v>Office</v>
      </c>
      <c r="I392" s="3">
        <f>_xlfn.XLOOKUP(D392,Products!$A$2:$A$11,Products!$D$2:$D$11)</f>
        <v>35</v>
      </c>
      <c r="J392" s="3" t="str">
        <f>_xlfn.XLOOKUP(C392,Customers!$A$2:$A$101,Customers!$B$2:$B$101)</f>
        <v>Customer 069</v>
      </c>
      <c r="K392" s="3" t="str">
        <f>_xlfn.XLOOKUP(C392,Customers!$A$2:$A$101,Customers!$C$2:$C$101)</f>
        <v>Birmingham</v>
      </c>
      <c r="L392" s="3" t="str">
        <f>_xlfn.XLOOKUP(C392,Customers!$A$2:$A$101,Customers!$D$2:$D$101)</f>
        <v>Consumer</v>
      </c>
      <c r="M392" s="3">
        <f t="shared" si="13"/>
        <v>29.75</v>
      </c>
      <c r="N392" s="3">
        <f>E392*_xlfn.XLOOKUP(D392,Products!$A$2:$A$11,Products!$E$2:$E$11)</f>
        <v>20</v>
      </c>
      <c r="O392" s="3">
        <f t="shared" si="12"/>
        <v>9.75</v>
      </c>
    </row>
    <row r="393" spans="1:15" x14ac:dyDescent="0.3">
      <c r="A393" t="s">
        <v>503</v>
      </c>
      <c r="B393" s="1">
        <v>45726</v>
      </c>
      <c r="C393" t="s">
        <v>166</v>
      </c>
      <c r="D393" t="s">
        <v>19</v>
      </c>
      <c r="E393">
        <v>4</v>
      </c>
      <c r="F393" s="2">
        <v>0.1</v>
      </c>
      <c r="G393" s="2" t="str">
        <f>_xlfn.XLOOKUP(D393,Products!$A$2:$A$11,Products!$B$2:$B$11)</f>
        <v>Backpack</v>
      </c>
      <c r="H393" s="2" t="str">
        <f>_xlfn.XLOOKUP(D393,Products!$A$2:$A$11,Products!$C$2:$C$11)</f>
        <v>Lifestyle</v>
      </c>
      <c r="I393" s="3">
        <f>_xlfn.XLOOKUP(D393,Products!$A$2:$A$11,Products!$D$2:$D$11)</f>
        <v>55</v>
      </c>
      <c r="J393" s="3" t="str">
        <f>_xlfn.XLOOKUP(C393,Customers!$A$2:$A$101,Customers!$B$2:$B$101)</f>
        <v>Customer 034</v>
      </c>
      <c r="K393" s="3" t="str">
        <f>_xlfn.XLOOKUP(C393,Customers!$A$2:$A$101,Customers!$C$2:$C$101)</f>
        <v>Sheffield</v>
      </c>
      <c r="L393" s="3" t="str">
        <f>_xlfn.XLOOKUP(C393,Customers!$A$2:$A$101,Customers!$D$2:$D$101)</f>
        <v>Consumer</v>
      </c>
      <c r="M393" s="3">
        <f t="shared" si="13"/>
        <v>198</v>
      </c>
      <c r="N393" s="3">
        <f>E393*_xlfn.XLOOKUP(D393,Products!$A$2:$A$11,Products!$E$2:$E$11)</f>
        <v>108</v>
      </c>
      <c r="O393" s="3">
        <f t="shared" si="12"/>
        <v>90</v>
      </c>
    </row>
    <row r="394" spans="1:15" x14ac:dyDescent="0.3">
      <c r="A394" t="s">
        <v>504</v>
      </c>
      <c r="B394" s="1">
        <v>45681</v>
      </c>
      <c r="C394" t="s">
        <v>18</v>
      </c>
      <c r="D394" t="s">
        <v>27</v>
      </c>
      <c r="E394">
        <v>5</v>
      </c>
      <c r="F394" s="2">
        <v>0.05</v>
      </c>
      <c r="G394" s="2" t="str">
        <f>_xlfn.XLOOKUP(D394,Products!$A$2:$A$11,Products!$B$2:$B$11)</f>
        <v>Laptop Stand</v>
      </c>
      <c r="H394" s="2" t="str">
        <f>_xlfn.XLOOKUP(D394,Products!$A$2:$A$11,Products!$C$2:$C$11)</f>
        <v>Office</v>
      </c>
      <c r="I394" s="3">
        <f>_xlfn.XLOOKUP(D394,Products!$A$2:$A$11,Products!$D$2:$D$11)</f>
        <v>35</v>
      </c>
      <c r="J394" s="3" t="str">
        <f>_xlfn.XLOOKUP(C394,Customers!$A$2:$A$101,Customers!$B$2:$B$101)</f>
        <v>Customer 052</v>
      </c>
      <c r="K394" s="3" t="str">
        <f>_xlfn.XLOOKUP(C394,Customers!$A$2:$A$101,Customers!$C$2:$C$101)</f>
        <v>Bristol</v>
      </c>
      <c r="L394" s="3" t="str">
        <f>_xlfn.XLOOKUP(C394,Customers!$A$2:$A$101,Customers!$D$2:$D$101)</f>
        <v>Consumer</v>
      </c>
      <c r="M394" s="3">
        <f t="shared" si="13"/>
        <v>166.25</v>
      </c>
      <c r="N394" s="3">
        <f>E394*_xlfn.XLOOKUP(D394,Products!$A$2:$A$11,Products!$E$2:$E$11)</f>
        <v>100</v>
      </c>
      <c r="O394" s="3">
        <f t="shared" si="12"/>
        <v>66.25</v>
      </c>
    </row>
    <row r="395" spans="1:15" x14ac:dyDescent="0.3">
      <c r="A395" t="s">
        <v>505</v>
      </c>
      <c r="B395" s="1">
        <v>45843</v>
      </c>
      <c r="C395" t="s">
        <v>127</v>
      </c>
      <c r="D395" t="s">
        <v>60</v>
      </c>
      <c r="E395">
        <v>1</v>
      </c>
      <c r="F395" s="2">
        <v>0.15</v>
      </c>
      <c r="G395" s="2" t="str">
        <f>_xlfn.XLOOKUP(D395,Products!$A$2:$A$11,Products!$B$2:$B$11)</f>
        <v>Water Bottle</v>
      </c>
      <c r="H395" s="2" t="str">
        <f>_xlfn.XLOOKUP(D395,Products!$A$2:$A$11,Products!$C$2:$C$11)</f>
        <v>Lifestyle</v>
      </c>
      <c r="I395" s="3">
        <f>_xlfn.XLOOKUP(D395,Products!$A$2:$A$11,Products!$D$2:$D$11)</f>
        <v>18</v>
      </c>
      <c r="J395" s="3" t="str">
        <f>_xlfn.XLOOKUP(C395,Customers!$A$2:$A$101,Customers!$B$2:$B$101)</f>
        <v>Customer 071</v>
      </c>
      <c r="K395" s="3" t="str">
        <f>_xlfn.XLOOKUP(C395,Customers!$A$2:$A$101,Customers!$C$2:$C$101)</f>
        <v>Leeds</v>
      </c>
      <c r="L395" s="3" t="str">
        <f>_xlfn.XLOOKUP(C395,Customers!$A$2:$A$101,Customers!$D$2:$D$101)</f>
        <v>Consumer</v>
      </c>
      <c r="M395" s="3">
        <f t="shared" si="13"/>
        <v>15.299999999999999</v>
      </c>
      <c r="N395" s="3">
        <f>E395*_xlfn.XLOOKUP(D395,Products!$A$2:$A$11,Products!$E$2:$E$11)</f>
        <v>7</v>
      </c>
      <c r="O395" s="3">
        <f t="shared" si="12"/>
        <v>8.2999999999999989</v>
      </c>
    </row>
    <row r="396" spans="1:15" x14ac:dyDescent="0.3">
      <c r="A396" t="s">
        <v>506</v>
      </c>
      <c r="B396" s="1">
        <v>45916</v>
      </c>
      <c r="C396" t="s">
        <v>45</v>
      </c>
      <c r="D396" t="s">
        <v>11</v>
      </c>
      <c r="E396">
        <v>3</v>
      </c>
      <c r="F396" s="2">
        <v>0</v>
      </c>
      <c r="G396" s="2" t="str">
        <f>_xlfn.XLOOKUP(D396,Products!$A$2:$A$11,Products!$B$2:$B$11)</f>
        <v>Office Chair</v>
      </c>
      <c r="H396" s="2" t="str">
        <f>_xlfn.XLOOKUP(D396,Products!$A$2:$A$11,Products!$C$2:$C$11)</f>
        <v>Office</v>
      </c>
      <c r="I396" s="3">
        <f>_xlfn.XLOOKUP(D396,Products!$A$2:$A$11,Products!$D$2:$D$11)</f>
        <v>180</v>
      </c>
      <c r="J396" s="3" t="str">
        <f>_xlfn.XLOOKUP(C396,Customers!$A$2:$A$101,Customers!$B$2:$B$101)</f>
        <v>Customer 058</v>
      </c>
      <c r="K396" s="3" t="str">
        <f>_xlfn.XLOOKUP(C396,Customers!$A$2:$A$101,Customers!$C$2:$C$101)</f>
        <v>Bristol</v>
      </c>
      <c r="L396" s="3" t="str">
        <f>_xlfn.XLOOKUP(C396,Customers!$A$2:$A$101,Customers!$D$2:$D$101)</f>
        <v>Corporate</v>
      </c>
      <c r="M396" s="3">
        <f t="shared" si="13"/>
        <v>540</v>
      </c>
      <c r="N396" s="3">
        <f>E396*_xlfn.XLOOKUP(D396,Products!$A$2:$A$11,Products!$E$2:$E$11)</f>
        <v>315</v>
      </c>
      <c r="O396" s="3">
        <f t="shared" si="12"/>
        <v>225</v>
      </c>
    </row>
    <row r="397" spans="1:15" x14ac:dyDescent="0.3">
      <c r="A397" t="s">
        <v>507</v>
      </c>
      <c r="B397" s="1">
        <v>45723</v>
      </c>
      <c r="C397" t="s">
        <v>50</v>
      </c>
      <c r="D397" t="s">
        <v>16</v>
      </c>
      <c r="E397">
        <v>3</v>
      </c>
      <c r="F397" s="2">
        <v>0.1</v>
      </c>
      <c r="G397" s="2" t="str">
        <f>_xlfn.XLOOKUP(D397,Products!$A$2:$A$11,Products!$B$2:$B$11)</f>
        <v>Headphones</v>
      </c>
      <c r="H397" s="2" t="str">
        <f>_xlfn.XLOOKUP(D397,Products!$A$2:$A$11,Products!$C$2:$C$11)</f>
        <v>Electronics</v>
      </c>
      <c r="I397" s="3">
        <f>_xlfn.XLOOKUP(D397,Products!$A$2:$A$11,Products!$D$2:$D$11)</f>
        <v>75</v>
      </c>
      <c r="J397" s="3" t="str">
        <f>_xlfn.XLOOKUP(C397,Customers!$A$2:$A$101,Customers!$B$2:$B$101)</f>
        <v>Customer 013</v>
      </c>
      <c r="K397" s="3" t="str">
        <f>_xlfn.XLOOKUP(C397,Customers!$A$2:$A$101,Customers!$C$2:$C$101)</f>
        <v>Bristol</v>
      </c>
      <c r="L397" s="3" t="str">
        <f>_xlfn.XLOOKUP(C397,Customers!$A$2:$A$101,Customers!$D$2:$D$101)</f>
        <v>Consumer</v>
      </c>
      <c r="M397" s="3">
        <f t="shared" si="13"/>
        <v>202.5</v>
      </c>
      <c r="N397" s="3">
        <f>E397*_xlfn.XLOOKUP(D397,Products!$A$2:$A$11,Products!$E$2:$E$11)</f>
        <v>120</v>
      </c>
      <c r="O397" s="3">
        <f t="shared" si="12"/>
        <v>82.5</v>
      </c>
    </row>
    <row r="398" spans="1:15" x14ac:dyDescent="0.3">
      <c r="A398" t="s">
        <v>508</v>
      </c>
      <c r="B398" s="1">
        <v>45943</v>
      </c>
      <c r="C398" t="s">
        <v>323</v>
      </c>
      <c r="D398" t="s">
        <v>46</v>
      </c>
      <c r="E398">
        <v>2</v>
      </c>
      <c r="F398" s="2">
        <v>0.15</v>
      </c>
      <c r="G398" s="2" t="str">
        <f>_xlfn.XLOOKUP(D398,Products!$A$2:$A$11,Products!$B$2:$B$11)</f>
        <v>Keyboard</v>
      </c>
      <c r="H398" s="2" t="str">
        <f>_xlfn.XLOOKUP(D398,Products!$A$2:$A$11,Products!$C$2:$C$11)</f>
        <v>Electronics</v>
      </c>
      <c r="I398" s="3">
        <f>_xlfn.XLOOKUP(D398,Products!$A$2:$A$11,Products!$D$2:$D$11)</f>
        <v>45</v>
      </c>
      <c r="J398" s="3" t="str">
        <f>_xlfn.XLOOKUP(C398,Customers!$A$2:$A$101,Customers!$B$2:$B$101)</f>
        <v>Customer 047</v>
      </c>
      <c r="K398" s="3" t="str">
        <f>_xlfn.XLOOKUP(C398,Customers!$A$2:$A$101,Customers!$C$2:$C$101)</f>
        <v>Manchester</v>
      </c>
      <c r="L398" s="3" t="str">
        <f>_xlfn.XLOOKUP(C398,Customers!$A$2:$A$101,Customers!$D$2:$D$101)</f>
        <v>Corporate</v>
      </c>
      <c r="M398" s="3">
        <f t="shared" si="13"/>
        <v>76.5</v>
      </c>
      <c r="N398" s="3">
        <f>E398*_xlfn.XLOOKUP(D398,Products!$A$2:$A$11,Products!$E$2:$E$11)</f>
        <v>44</v>
      </c>
      <c r="O398" s="3">
        <f t="shared" si="12"/>
        <v>32.5</v>
      </c>
    </row>
    <row r="399" spans="1:15" x14ac:dyDescent="0.3">
      <c r="A399" t="s">
        <v>509</v>
      </c>
      <c r="B399" s="1">
        <v>45914</v>
      </c>
      <c r="C399" t="s">
        <v>173</v>
      </c>
      <c r="D399" t="s">
        <v>27</v>
      </c>
      <c r="E399">
        <v>1</v>
      </c>
      <c r="F399" s="2">
        <v>0.05</v>
      </c>
      <c r="G399" s="2" t="str">
        <f>_xlfn.XLOOKUP(D399,Products!$A$2:$A$11,Products!$B$2:$B$11)</f>
        <v>Laptop Stand</v>
      </c>
      <c r="H399" s="2" t="str">
        <f>_xlfn.XLOOKUP(D399,Products!$A$2:$A$11,Products!$C$2:$C$11)</f>
        <v>Office</v>
      </c>
      <c r="I399" s="3">
        <f>_xlfn.XLOOKUP(D399,Products!$A$2:$A$11,Products!$D$2:$D$11)</f>
        <v>35</v>
      </c>
      <c r="J399" s="3" t="str">
        <f>_xlfn.XLOOKUP(C399,Customers!$A$2:$A$101,Customers!$B$2:$B$101)</f>
        <v>Customer 006</v>
      </c>
      <c r="K399" s="3" t="str">
        <f>_xlfn.XLOOKUP(C399,Customers!$A$2:$A$101,Customers!$C$2:$C$101)</f>
        <v>Sheffield</v>
      </c>
      <c r="L399" s="3" t="str">
        <f>_xlfn.XLOOKUP(C399,Customers!$A$2:$A$101,Customers!$D$2:$D$101)</f>
        <v>Corporate</v>
      </c>
      <c r="M399" s="3">
        <f t="shared" si="13"/>
        <v>33.25</v>
      </c>
      <c r="N399" s="3">
        <f>E399*_xlfn.XLOOKUP(D399,Products!$A$2:$A$11,Products!$E$2:$E$11)</f>
        <v>20</v>
      </c>
      <c r="O399" s="3">
        <f t="shared" si="12"/>
        <v>13.25</v>
      </c>
    </row>
    <row r="400" spans="1:15" x14ac:dyDescent="0.3">
      <c r="A400" t="s">
        <v>510</v>
      </c>
      <c r="B400" s="1">
        <v>45828</v>
      </c>
      <c r="C400" t="s">
        <v>13</v>
      </c>
      <c r="D400" t="s">
        <v>11</v>
      </c>
      <c r="E400">
        <v>4</v>
      </c>
      <c r="F400" s="2">
        <v>0.05</v>
      </c>
      <c r="G400" s="2" t="str">
        <f>_xlfn.XLOOKUP(D400,Products!$A$2:$A$11,Products!$B$2:$B$11)</f>
        <v>Office Chair</v>
      </c>
      <c r="H400" s="2" t="str">
        <f>_xlfn.XLOOKUP(D400,Products!$A$2:$A$11,Products!$C$2:$C$11)</f>
        <v>Office</v>
      </c>
      <c r="I400" s="3">
        <f>_xlfn.XLOOKUP(D400,Products!$A$2:$A$11,Products!$D$2:$D$11)</f>
        <v>180</v>
      </c>
      <c r="J400" s="3" t="str">
        <f>_xlfn.XLOOKUP(C400,Customers!$A$2:$A$101,Customers!$B$2:$B$101)</f>
        <v>Customer 061</v>
      </c>
      <c r="K400" s="3" t="str">
        <f>_xlfn.XLOOKUP(C400,Customers!$A$2:$A$101,Customers!$C$2:$C$101)</f>
        <v>Leeds</v>
      </c>
      <c r="L400" s="3" t="str">
        <f>_xlfn.XLOOKUP(C400,Customers!$A$2:$A$101,Customers!$D$2:$D$101)</f>
        <v>Corporate</v>
      </c>
      <c r="M400" s="3">
        <f t="shared" si="13"/>
        <v>684</v>
      </c>
      <c r="N400" s="3">
        <f>E400*_xlfn.XLOOKUP(D400,Products!$A$2:$A$11,Products!$E$2:$E$11)</f>
        <v>420</v>
      </c>
      <c r="O400" s="3">
        <f t="shared" si="12"/>
        <v>264</v>
      </c>
    </row>
    <row r="401" spans="1:15" x14ac:dyDescent="0.3">
      <c r="A401" t="s">
        <v>511</v>
      </c>
      <c r="B401" s="1">
        <v>45968</v>
      </c>
      <c r="C401" t="s">
        <v>66</v>
      </c>
      <c r="D401" t="s">
        <v>46</v>
      </c>
      <c r="E401">
        <v>3</v>
      </c>
      <c r="F401" s="2">
        <v>0.1</v>
      </c>
      <c r="G401" s="2" t="str">
        <f>_xlfn.XLOOKUP(D401,Products!$A$2:$A$11,Products!$B$2:$B$11)</f>
        <v>Keyboard</v>
      </c>
      <c r="H401" s="2" t="str">
        <f>_xlfn.XLOOKUP(D401,Products!$A$2:$A$11,Products!$C$2:$C$11)</f>
        <v>Electronics</v>
      </c>
      <c r="I401" s="3">
        <f>_xlfn.XLOOKUP(D401,Products!$A$2:$A$11,Products!$D$2:$D$11)</f>
        <v>45</v>
      </c>
      <c r="J401" s="3" t="str">
        <f>_xlfn.XLOOKUP(C401,Customers!$A$2:$A$101,Customers!$B$2:$B$101)</f>
        <v>Customer 066</v>
      </c>
      <c r="K401" s="3" t="str">
        <f>_xlfn.XLOOKUP(C401,Customers!$A$2:$A$101,Customers!$C$2:$C$101)</f>
        <v>Birmingham</v>
      </c>
      <c r="L401" s="3" t="str">
        <f>_xlfn.XLOOKUP(C401,Customers!$A$2:$A$101,Customers!$D$2:$D$101)</f>
        <v>Corporate</v>
      </c>
      <c r="M401" s="3">
        <f t="shared" si="13"/>
        <v>121.5</v>
      </c>
      <c r="N401" s="3">
        <f>E401*_xlfn.XLOOKUP(D401,Products!$A$2:$A$11,Products!$E$2:$E$11)</f>
        <v>66</v>
      </c>
      <c r="O401" s="3">
        <f t="shared" si="12"/>
        <v>55.5</v>
      </c>
    </row>
    <row r="402" spans="1:15" x14ac:dyDescent="0.3">
      <c r="A402" t="s">
        <v>512</v>
      </c>
      <c r="B402" s="1">
        <v>45741</v>
      </c>
      <c r="C402" t="s">
        <v>309</v>
      </c>
      <c r="D402" t="s">
        <v>8</v>
      </c>
      <c r="E402">
        <v>3</v>
      </c>
      <c r="F402" s="2">
        <v>0.1</v>
      </c>
      <c r="G402" s="2" t="str">
        <f>_xlfn.XLOOKUP(D402,Products!$A$2:$A$11,Products!$B$2:$B$11)</f>
        <v>USB-C Hub</v>
      </c>
      <c r="H402" s="2" t="str">
        <f>_xlfn.XLOOKUP(D402,Products!$A$2:$A$11,Products!$C$2:$C$11)</f>
        <v>Electronics</v>
      </c>
      <c r="I402" s="3">
        <f>_xlfn.XLOOKUP(D402,Products!$A$2:$A$11,Products!$D$2:$D$11)</f>
        <v>40</v>
      </c>
      <c r="J402" s="3" t="str">
        <f>_xlfn.XLOOKUP(C402,Customers!$A$2:$A$101,Customers!$B$2:$B$101)</f>
        <v>Customer 051</v>
      </c>
      <c r="K402" s="3" t="str">
        <f>_xlfn.XLOOKUP(C402,Customers!$A$2:$A$101,Customers!$C$2:$C$101)</f>
        <v>Sheffield</v>
      </c>
      <c r="L402" s="3" t="str">
        <f>_xlfn.XLOOKUP(C402,Customers!$A$2:$A$101,Customers!$D$2:$D$101)</f>
        <v>Corporate</v>
      </c>
      <c r="M402" s="3">
        <f t="shared" si="13"/>
        <v>108</v>
      </c>
      <c r="N402" s="3">
        <f>E402*_xlfn.XLOOKUP(D402,Products!$A$2:$A$11,Products!$E$2:$E$11)</f>
        <v>57</v>
      </c>
      <c r="O402" s="3">
        <f t="shared" si="12"/>
        <v>51</v>
      </c>
    </row>
    <row r="403" spans="1:15" x14ac:dyDescent="0.3">
      <c r="A403" t="s">
        <v>513</v>
      </c>
      <c r="B403" s="1">
        <v>45917</v>
      </c>
      <c r="C403" t="s">
        <v>66</v>
      </c>
      <c r="D403" t="s">
        <v>11</v>
      </c>
      <c r="E403">
        <v>4</v>
      </c>
      <c r="F403" s="2">
        <v>0.1</v>
      </c>
      <c r="G403" s="2" t="str">
        <f>_xlfn.XLOOKUP(D403,Products!$A$2:$A$11,Products!$B$2:$B$11)</f>
        <v>Office Chair</v>
      </c>
      <c r="H403" s="2" t="str">
        <f>_xlfn.XLOOKUP(D403,Products!$A$2:$A$11,Products!$C$2:$C$11)</f>
        <v>Office</v>
      </c>
      <c r="I403" s="3">
        <f>_xlfn.XLOOKUP(D403,Products!$A$2:$A$11,Products!$D$2:$D$11)</f>
        <v>180</v>
      </c>
      <c r="J403" s="3" t="str">
        <f>_xlfn.XLOOKUP(C403,Customers!$A$2:$A$101,Customers!$B$2:$B$101)</f>
        <v>Customer 066</v>
      </c>
      <c r="K403" s="3" t="str">
        <f>_xlfn.XLOOKUP(C403,Customers!$A$2:$A$101,Customers!$C$2:$C$101)</f>
        <v>Birmingham</v>
      </c>
      <c r="L403" s="3" t="str">
        <f>_xlfn.XLOOKUP(C403,Customers!$A$2:$A$101,Customers!$D$2:$D$101)</f>
        <v>Corporate</v>
      </c>
      <c r="M403" s="3">
        <f t="shared" si="13"/>
        <v>648</v>
      </c>
      <c r="N403" s="3">
        <f>E403*_xlfn.XLOOKUP(D403,Products!$A$2:$A$11,Products!$E$2:$E$11)</f>
        <v>420</v>
      </c>
      <c r="O403" s="3">
        <f t="shared" si="12"/>
        <v>228</v>
      </c>
    </row>
    <row r="404" spans="1:15" x14ac:dyDescent="0.3">
      <c r="A404" t="s">
        <v>514</v>
      </c>
      <c r="B404" s="1">
        <v>45901</v>
      </c>
      <c r="C404" t="s">
        <v>204</v>
      </c>
      <c r="D404" t="s">
        <v>19</v>
      </c>
      <c r="E404">
        <v>3</v>
      </c>
      <c r="F404" s="2">
        <v>0</v>
      </c>
      <c r="G404" s="2" t="str">
        <f>_xlfn.XLOOKUP(D404,Products!$A$2:$A$11,Products!$B$2:$B$11)</f>
        <v>Backpack</v>
      </c>
      <c r="H404" s="2" t="str">
        <f>_xlfn.XLOOKUP(D404,Products!$A$2:$A$11,Products!$C$2:$C$11)</f>
        <v>Lifestyle</v>
      </c>
      <c r="I404" s="3">
        <f>_xlfn.XLOOKUP(D404,Products!$A$2:$A$11,Products!$D$2:$D$11)</f>
        <v>55</v>
      </c>
      <c r="J404" s="3" t="str">
        <f>_xlfn.XLOOKUP(C404,Customers!$A$2:$A$101,Customers!$B$2:$B$101)</f>
        <v>Customer 003</v>
      </c>
      <c r="K404" s="3" t="str">
        <f>_xlfn.XLOOKUP(C404,Customers!$A$2:$A$101,Customers!$C$2:$C$101)</f>
        <v>Birmingham</v>
      </c>
      <c r="L404" s="3" t="str">
        <f>_xlfn.XLOOKUP(C404,Customers!$A$2:$A$101,Customers!$D$2:$D$101)</f>
        <v>Consumer</v>
      </c>
      <c r="M404" s="3">
        <f t="shared" si="13"/>
        <v>165</v>
      </c>
      <c r="N404" s="3">
        <f>E404*_xlfn.XLOOKUP(D404,Products!$A$2:$A$11,Products!$E$2:$E$11)</f>
        <v>81</v>
      </c>
      <c r="O404" s="3">
        <f t="shared" si="12"/>
        <v>84</v>
      </c>
    </row>
    <row r="405" spans="1:15" x14ac:dyDescent="0.3">
      <c r="A405" t="s">
        <v>515</v>
      </c>
      <c r="B405" s="1">
        <v>45871</v>
      </c>
      <c r="C405" t="s">
        <v>180</v>
      </c>
      <c r="D405" t="s">
        <v>60</v>
      </c>
      <c r="E405">
        <v>1</v>
      </c>
      <c r="F405" s="2">
        <v>0.15</v>
      </c>
      <c r="G405" s="2" t="str">
        <f>_xlfn.XLOOKUP(D405,Products!$A$2:$A$11,Products!$B$2:$B$11)</f>
        <v>Water Bottle</v>
      </c>
      <c r="H405" s="2" t="str">
        <f>_xlfn.XLOOKUP(D405,Products!$A$2:$A$11,Products!$C$2:$C$11)</f>
        <v>Lifestyle</v>
      </c>
      <c r="I405" s="3">
        <f>_xlfn.XLOOKUP(D405,Products!$A$2:$A$11,Products!$D$2:$D$11)</f>
        <v>18</v>
      </c>
      <c r="J405" s="3" t="str">
        <f>_xlfn.XLOOKUP(C405,Customers!$A$2:$A$101,Customers!$B$2:$B$101)</f>
        <v>Customer 075</v>
      </c>
      <c r="K405" s="3" t="str">
        <f>_xlfn.XLOOKUP(C405,Customers!$A$2:$A$101,Customers!$C$2:$C$101)</f>
        <v>Leeds</v>
      </c>
      <c r="L405" s="3" t="str">
        <f>_xlfn.XLOOKUP(C405,Customers!$A$2:$A$101,Customers!$D$2:$D$101)</f>
        <v>Corporate</v>
      </c>
      <c r="M405" s="3">
        <f t="shared" si="13"/>
        <v>15.299999999999999</v>
      </c>
      <c r="N405" s="3">
        <f>E405*_xlfn.XLOOKUP(D405,Products!$A$2:$A$11,Products!$E$2:$E$11)</f>
        <v>7</v>
      </c>
      <c r="O405" s="3">
        <f t="shared" si="12"/>
        <v>8.2999999999999989</v>
      </c>
    </row>
    <row r="406" spans="1:15" x14ac:dyDescent="0.3">
      <c r="A406" t="s">
        <v>516</v>
      </c>
      <c r="B406" s="1">
        <v>45793</v>
      </c>
      <c r="C406" t="s">
        <v>41</v>
      </c>
      <c r="D406" t="s">
        <v>8</v>
      </c>
      <c r="E406">
        <v>5</v>
      </c>
      <c r="F406" s="2">
        <v>0.05</v>
      </c>
      <c r="G406" s="2" t="str">
        <f>_xlfn.XLOOKUP(D406,Products!$A$2:$A$11,Products!$B$2:$B$11)</f>
        <v>USB-C Hub</v>
      </c>
      <c r="H406" s="2" t="str">
        <f>_xlfn.XLOOKUP(D406,Products!$A$2:$A$11,Products!$C$2:$C$11)</f>
        <v>Electronics</v>
      </c>
      <c r="I406" s="3">
        <f>_xlfn.XLOOKUP(D406,Products!$A$2:$A$11,Products!$D$2:$D$11)</f>
        <v>40</v>
      </c>
      <c r="J406" s="3" t="str">
        <f>_xlfn.XLOOKUP(C406,Customers!$A$2:$A$101,Customers!$B$2:$B$101)</f>
        <v>Customer 084</v>
      </c>
      <c r="K406" s="3" t="str">
        <f>_xlfn.XLOOKUP(C406,Customers!$A$2:$A$101,Customers!$C$2:$C$101)</f>
        <v>Birmingham</v>
      </c>
      <c r="L406" s="3" t="str">
        <f>_xlfn.XLOOKUP(C406,Customers!$A$2:$A$101,Customers!$D$2:$D$101)</f>
        <v>Consumer</v>
      </c>
      <c r="M406" s="3">
        <f t="shared" si="13"/>
        <v>190</v>
      </c>
      <c r="N406" s="3">
        <f>E406*_xlfn.XLOOKUP(D406,Products!$A$2:$A$11,Products!$E$2:$E$11)</f>
        <v>95</v>
      </c>
      <c r="O406" s="3">
        <f t="shared" si="12"/>
        <v>95</v>
      </c>
    </row>
    <row r="407" spans="1:15" x14ac:dyDescent="0.3">
      <c r="A407" t="s">
        <v>517</v>
      </c>
      <c r="B407" s="1">
        <v>45684</v>
      </c>
      <c r="C407" t="s">
        <v>180</v>
      </c>
      <c r="D407" t="s">
        <v>33</v>
      </c>
      <c r="E407">
        <v>2</v>
      </c>
      <c r="F407" s="2">
        <v>0.15</v>
      </c>
      <c r="G407" s="2" t="str">
        <f>_xlfn.XLOOKUP(D407,Products!$A$2:$A$11,Products!$B$2:$B$11)</f>
        <v>Notebook Pack</v>
      </c>
      <c r="H407" s="2" t="str">
        <f>_xlfn.XLOOKUP(D407,Products!$A$2:$A$11,Products!$C$2:$C$11)</f>
        <v>Stationery</v>
      </c>
      <c r="I407" s="3">
        <f>_xlfn.XLOOKUP(D407,Products!$A$2:$A$11,Products!$D$2:$D$11)</f>
        <v>12</v>
      </c>
      <c r="J407" s="3" t="str">
        <f>_xlfn.XLOOKUP(C407,Customers!$A$2:$A$101,Customers!$B$2:$B$101)</f>
        <v>Customer 075</v>
      </c>
      <c r="K407" s="3" t="str">
        <f>_xlfn.XLOOKUP(C407,Customers!$A$2:$A$101,Customers!$C$2:$C$101)</f>
        <v>Leeds</v>
      </c>
      <c r="L407" s="3" t="str">
        <f>_xlfn.XLOOKUP(C407,Customers!$A$2:$A$101,Customers!$D$2:$D$101)</f>
        <v>Corporate</v>
      </c>
      <c r="M407" s="3">
        <f t="shared" si="13"/>
        <v>20.399999999999999</v>
      </c>
      <c r="N407" s="3">
        <f>E407*_xlfn.XLOOKUP(D407,Products!$A$2:$A$11,Products!$E$2:$E$11)</f>
        <v>10</v>
      </c>
      <c r="O407" s="3">
        <f t="shared" si="12"/>
        <v>10.399999999999999</v>
      </c>
    </row>
    <row r="408" spans="1:15" x14ac:dyDescent="0.3">
      <c r="A408" t="s">
        <v>518</v>
      </c>
      <c r="B408" s="1">
        <v>45733</v>
      </c>
      <c r="C408" t="s">
        <v>233</v>
      </c>
      <c r="D408" t="s">
        <v>22</v>
      </c>
      <c r="E408">
        <v>1</v>
      </c>
      <c r="F408" s="2">
        <v>0</v>
      </c>
      <c r="G408" s="2" t="str">
        <f>_xlfn.XLOOKUP(D408,Products!$A$2:$A$11,Products!$B$2:$B$11)</f>
        <v>Desk Lamp</v>
      </c>
      <c r="H408" s="2" t="str">
        <f>_xlfn.XLOOKUP(D408,Products!$A$2:$A$11,Products!$C$2:$C$11)</f>
        <v>Office</v>
      </c>
      <c r="I408" s="3">
        <f>_xlfn.XLOOKUP(D408,Products!$A$2:$A$11,Products!$D$2:$D$11)</f>
        <v>30</v>
      </c>
      <c r="J408" s="3" t="str">
        <f>_xlfn.XLOOKUP(C408,Customers!$A$2:$A$101,Customers!$B$2:$B$101)</f>
        <v>Customer 088</v>
      </c>
      <c r="K408" s="3" t="str">
        <f>_xlfn.XLOOKUP(C408,Customers!$A$2:$A$101,Customers!$C$2:$C$101)</f>
        <v>Sheffield</v>
      </c>
      <c r="L408" s="3" t="str">
        <f>_xlfn.XLOOKUP(C408,Customers!$A$2:$A$101,Customers!$D$2:$D$101)</f>
        <v>Small Business</v>
      </c>
      <c r="M408" s="3">
        <f t="shared" si="13"/>
        <v>30</v>
      </c>
      <c r="N408" s="3">
        <f>E408*_xlfn.XLOOKUP(D408,Products!$A$2:$A$11,Products!$E$2:$E$11)</f>
        <v>15</v>
      </c>
      <c r="O408" s="3">
        <f t="shared" si="12"/>
        <v>15</v>
      </c>
    </row>
    <row r="409" spans="1:15" x14ac:dyDescent="0.3">
      <c r="A409" t="s">
        <v>519</v>
      </c>
      <c r="B409" s="1">
        <v>45755</v>
      </c>
      <c r="C409" t="s">
        <v>204</v>
      </c>
      <c r="D409" t="s">
        <v>33</v>
      </c>
      <c r="E409">
        <v>3</v>
      </c>
      <c r="F409" s="2">
        <v>0.15</v>
      </c>
      <c r="G409" s="2" t="str">
        <f>_xlfn.XLOOKUP(D409,Products!$A$2:$A$11,Products!$B$2:$B$11)</f>
        <v>Notebook Pack</v>
      </c>
      <c r="H409" s="2" t="str">
        <f>_xlfn.XLOOKUP(D409,Products!$A$2:$A$11,Products!$C$2:$C$11)</f>
        <v>Stationery</v>
      </c>
      <c r="I409" s="3">
        <f>_xlfn.XLOOKUP(D409,Products!$A$2:$A$11,Products!$D$2:$D$11)</f>
        <v>12</v>
      </c>
      <c r="J409" s="3" t="str">
        <f>_xlfn.XLOOKUP(C409,Customers!$A$2:$A$101,Customers!$B$2:$B$101)</f>
        <v>Customer 003</v>
      </c>
      <c r="K409" s="3" t="str">
        <f>_xlfn.XLOOKUP(C409,Customers!$A$2:$A$101,Customers!$C$2:$C$101)</f>
        <v>Birmingham</v>
      </c>
      <c r="L409" s="3" t="str">
        <f>_xlfn.XLOOKUP(C409,Customers!$A$2:$A$101,Customers!$D$2:$D$101)</f>
        <v>Consumer</v>
      </c>
      <c r="M409" s="3">
        <f t="shared" si="13"/>
        <v>30.599999999999998</v>
      </c>
      <c r="N409" s="3">
        <f>E409*_xlfn.XLOOKUP(D409,Products!$A$2:$A$11,Products!$E$2:$E$11)</f>
        <v>15</v>
      </c>
      <c r="O409" s="3">
        <f t="shared" si="12"/>
        <v>15.599999999999998</v>
      </c>
    </row>
    <row r="410" spans="1:15" x14ac:dyDescent="0.3">
      <c r="A410" t="s">
        <v>520</v>
      </c>
      <c r="B410" s="1">
        <v>45735</v>
      </c>
      <c r="C410" t="s">
        <v>123</v>
      </c>
      <c r="D410" t="s">
        <v>22</v>
      </c>
      <c r="E410">
        <v>4</v>
      </c>
      <c r="F410" s="2">
        <v>0.15</v>
      </c>
      <c r="G410" s="2" t="str">
        <f>_xlfn.XLOOKUP(D410,Products!$A$2:$A$11,Products!$B$2:$B$11)</f>
        <v>Desk Lamp</v>
      </c>
      <c r="H410" s="2" t="str">
        <f>_xlfn.XLOOKUP(D410,Products!$A$2:$A$11,Products!$C$2:$C$11)</f>
        <v>Office</v>
      </c>
      <c r="I410" s="3">
        <f>_xlfn.XLOOKUP(D410,Products!$A$2:$A$11,Products!$D$2:$D$11)</f>
        <v>30</v>
      </c>
      <c r="J410" s="3" t="str">
        <f>_xlfn.XLOOKUP(C410,Customers!$A$2:$A$101,Customers!$B$2:$B$101)</f>
        <v>Customer 053</v>
      </c>
      <c r="K410" s="3" t="str">
        <f>_xlfn.XLOOKUP(C410,Customers!$A$2:$A$101,Customers!$C$2:$C$101)</f>
        <v>Sheffield</v>
      </c>
      <c r="L410" s="3" t="str">
        <f>_xlfn.XLOOKUP(C410,Customers!$A$2:$A$101,Customers!$D$2:$D$101)</f>
        <v>Small Business</v>
      </c>
      <c r="M410" s="3">
        <f t="shared" si="13"/>
        <v>102</v>
      </c>
      <c r="N410" s="3">
        <f>E410*_xlfn.XLOOKUP(D410,Products!$A$2:$A$11,Products!$E$2:$E$11)</f>
        <v>60</v>
      </c>
      <c r="O410" s="3">
        <f t="shared" si="12"/>
        <v>42</v>
      </c>
    </row>
    <row r="411" spans="1:15" x14ac:dyDescent="0.3">
      <c r="A411" t="s">
        <v>521</v>
      </c>
      <c r="B411" s="1">
        <v>45689</v>
      </c>
      <c r="C411" t="s">
        <v>272</v>
      </c>
      <c r="D411" t="s">
        <v>46</v>
      </c>
      <c r="E411">
        <v>5</v>
      </c>
      <c r="F411" s="2">
        <v>0.05</v>
      </c>
      <c r="G411" s="2" t="str">
        <f>_xlfn.XLOOKUP(D411,Products!$A$2:$A$11,Products!$B$2:$B$11)</f>
        <v>Keyboard</v>
      </c>
      <c r="H411" s="2" t="str">
        <f>_xlfn.XLOOKUP(D411,Products!$A$2:$A$11,Products!$C$2:$C$11)</f>
        <v>Electronics</v>
      </c>
      <c r="I411" s="3">
        <f>_xlfn.XLOOKUP(D411,Products!$A$2:$A$11,Products!$D$2:$D$11)</f>
        <v>45</v>
      </c>
      <c r="J411" s="3" t="str">
        <f>_xlfn.XLOOKUP(C411,Customers!$A$2:$A$101,Customers!$B$2:$B$101)</f>
        <v>Customer 091</v>
      </c>
      <c r="K411" s="3" t="str">
        <f>_xlfn.XLOOKUP(C411,Customers!$A$2:$A$101,Customers!$C$2:$C$101)</f>
        <v>Sheffield</v>
      </c>
      <c r="L411" s="3" t="str">
        <f>_xlfn.XLOOKUP(C411,Customers!$A$2:$A$101,Customers!$D$2:$D$101)</f>
        <v>Small Business</v>
      </c>
      <c r="M411" s="3">
        <f t="shared" si="13"/>
        <v>213.75</v>
      </c>
      <c r="N411" s="3">
        <f>E411*_xlfn.XLOOKUP(D411,Products!$A$2:$A$11,Products!$E$2:$E$11)</f>
        <v>110</v>
      </c>
      <c r="O411" s="3">
        <f t="shared" si="12"/>
        <v>103.75</v>
      </c>
    </row>
    <row r="412" spans="1:15" x14ac:dyDescent="0.3">
      <c r="A412" t="s">
        <v>522</v>
      </c>
      <c r="B412" s="1">
        <v>45945</v>
      </c>
      <c r="C412" t="s">
        <v>168</v>
      </c>
      <c r="D412" t="s">
        <v>33</v>
      </c>
      <c r="E412">
        <v>5</v>
      </c>
      <c r="F412" s="2">
        <v>0.15</v>
      </c>
      <c r="G412" s="2" t="str">
        <f>_xlfn.XLOOKUP(D412,Products!$A$2:$A$11,Products!$B$2:$B$11)</f>
        <v>Notebook Pack</v>
      </c>
      <c r="H412" s="2" t="str">
        <f>_xlfn.XLOOKUP(D412,Products!$A$2:$A$11,Products!$C$2:$C$11)</f>
        <v>Stationery</v>
      </c>
      <c r="I412" s="3">
        <f>_xlfn.XLOOKUP(D412,Products!$A$2:$A$11,Products!$D$2:$D$11)</f>
        <v>12</v>
      </c>
      <c r="J412" s="3" t="str">
        <f>_xlfn.XLOOKUP(C412,Customers!$A$2:$A$101,Customers!$B$2:$B$101)</f>
        <v>Customer 042</v>
      </c>
      <c r="K412" s="3" t="str">
        <f>_xlfn.XLOOKUP(C412,Customers!$A$2:$A$101,Customers!$C$2:$C$101)</f>
        <v>Birmingham</v>
      </c>
      <c r="L412" s="3" t="str">
        <f>_xlfn.XLOOKUP(C412,Customers!$A$2:$A$101,Customers!$D$2:$D$101)</f>
        <v>Consumer</v>
      </c>
      <c r="M412" s="3">
        <f t="shared" si="13"/>
        <v>51</v>
      </c>
      <c r="N412" s="3">
        <f>E412*_xlfn.XLOOKUP(D412,Products!$A$2:$A$11,Products!$E$2:$E$11)</f>
        <v>25</v>
      </c>
      <c r="O412" s="3">
        <f t="shared" si="12"/>
        <v>26</v>
      </c>
    </row>
    <row r="413" spans="1:15" x14ac:dyDescent="0.3">
      <c r="A413" t="s">
        <v>523</v>
      </c>
      <c r="B413" s="1">
        <v>45818</v>
      </c>
      <c r="C413" t="s">
        <v>442</v>
      </c>
      <c r="D413" t="s">
        <v>33</v>
      </c>
      <c r="E413">
        <v>5</v>
      </c>
      <c r="F413" s="2">
        <v>0.1</v>
      </c>
      <c r="G413" s="2" t="str">
        <f>_xlfn.XLOOKUP(D413,Products!$A$2:$A$11,Products!$B$2:$B$11)</f>
        <v>Notebook Pack</v>
      </c>
      <c r="H413" s="2" t="str">
        <f>_xlfn.XLOOKUP(D413,Products!$A$2:$A$11,Products!$C$2:$C$11)</f>
        <v>Stationery</v>
      </c>
      <c r="I413" s="3">
        <f>_xlfn.XLOOKUP(D413,Products!$A$2:$A$11,Products!$D$2:$D$11)</f>
        <v>12</v>
      </c>
      <c r="J413" s="3" t="str">
        <f>_xlfn.XLOOKUP(C413,Customers!$A$2:$A$101,Customers!$B$2:$B$101)</f>
        <v>Customer 023</v>
      </c>
      <c r="K413" s="3" t="str">
        <f>_xlfn.XLOOKUP(C413,Customers!$A$2:$A$101,Customers!$C$2:$C$101)</f>
        <v>London</v>
      </c>
      <c r="L413" s="3" t="str">
        <f>_xlfn.XLOOKUP(C413,Customers!$A$2:$A$101,Customers!$D$2:$D$101)</f>
        <v>Consumer</v>
      </c>
      <c r="M413" s="3">
        <f t="shared" si="13"/>
        <v>54</v>
      </c>
      <c r="N413" s="3">
        <f>E413*_xlfn.XLOOKUP(D413,Products!$A$2:$A$11,Products!$E$2:$E$11)</f>
        <v>25</v>
      </c>
      <c r="O413" s="3">
        <f t="shared" si="12"/>
        <v>29</v>
      </c>
    </row>
    <row r="414" spans="1:15" x14ac:dyDescent="0.3">
      <c r="A414" t="s">
        <v>524</v>
      </c>
      <c r="B414" s="1">
        <v>45937</v>
      </c>
      <c r="C414" t="s">
        <v>99</v>
      </c>
      <c r="D414" t="s">
        <v>60</v>
      </c>
      <c r="E414">
        <v>5</v>
      </c>
      <c r="F414" s="2">
        <v>0.15</v>
      </c>
      <c r="G414" s="2" t="str">
        <f>_xlfn.XLOOKUP(D414,Products!$A$2:$A$11,Products!$B$2:$B$11)</f>
        <v>Water Bottle</v>
      </c>
      <c r="H414" s="2" t="str">
        <f>_xlfn.XLOOKUP(D414,Products!$A$2:$A$11,Products!$C$2:$C$11)</f>
        <v>Lifestyle</v>
      </c>
      <c r="I414" s="3">
        <f>_xlfn.XLOOKUP(D414,Products!$A$2:$A$11,Products!$D$2:$D$11)</f>
        <v>18</v>
      </c>
      <c r="J414" s="3" t="str">
        <f>_xlfn.XLOOKUP(C414,Customers!$A$2:$A$101,Customers!$B$2:$B$101)</f>
        <v>Customer 046</v>
      </c>
      <c r="K414" s="3" t="str">
        <f>_xlfn.XLOOKUP(C414,Customers!$A$2:$A$101,Customers!$C$2:$C$101)</f>
        <v>Bristol</v>
      </c>
      <c r="L414" s="3" t="str">
        <f>_xlfn.XLOOKUP(C414,Customers!$A$2:$A$101,Customers!$D$2:$D$101)</f>
        <v>Corporate</v>
      </c>
      <c r="M414" s="3">
        <f t="shared" si="13"/>
        <v>76.5</v>
      </c>
      <c r="N414" s="3">
        <f>E414*_xlfn.XLOOKUP(D414,Products!$A$2:$A$11,Products!$E$2:$E$11)</f>
        <v>35</v>
      </c>
      <c r="O414" s="3">
        <f t="shared" si="12"/>
        <v>41.5</v>
      </c>
    </row>
    <row r="415" spans="1:15" x14ac:dyDescent="0.3">
      <c r="A415" t="s">
        <v>525</v>
      </c>
      <c r="B415" s="1">
        <v>45756</v>
      </c>
      <c r="C415" t="s">
        <v>21</v>
      </c>
      <c r="D415" t="s">
        <v>60</v>
      </c>
      <c r="E415">
        <v>5</v>
      </c>
      <c r="F415" s="2">
        <v>0.1</v>
      </c>
      <c r="G415" s="2" t="str">
        <f>_xlfn.XLOOKUP(D415,Products!$A$2:$A$11,Products!$B$2:$B$11)</f>
        <v>Water Bottle</v>
      </c>
      <c r="H415" s="2" t="str">
        <f>_xlfn.XLOOKUP(D415,Products!$A$2:$A$11,Products!$C$2:$C$11)</f>
        <v>Lifestyle</v>
      </c>
      <c r="I415" s="3">
        <f>_xlfn.XLOOKUP(D415,Products!$A$2:$A$11,Products!$D$2:$D$11)</f>
        <v>18</v>
      </c>
      <c r="J415" s="3" t="str">
        <f>_xlfn.XLOOKUP(C415,Customers!$A$2:$A$101,Customers!$B$2:$B$101)</f>
        <v>Customer 032</v>
      </c>
      <c r="K415" s="3" t="str">
        <f>_xlfn.XLOOKUP(C415,Customers!$A$2:$A$101,Customers!$C$2:$C$101)</f>
        <v>Bristol</v>
      </c>
      <c r="L415" s="3" t="str">
        <f>_xlfn.XLOOKUP(C415,Customers!$A$2:$A$101,Customers!$D$2:$D$101)</f>
        <v>Small Business</v>
      </c>
      <c r="M415" s="3">
        <f t="shared" si="13"/>
        <v>81</v>
      </c>
      <c r="N415" s="3">
        <f>E415*_xlfn.XLOOKUP(D415,Products!$A$2:$A$11,Products!$E$2:$E$11)</f>
        <v>35</v>
      </c>
      <c r="O415" s="3">
        <f t="shared" si="12"/>
        <v>46</v>
      </c>
    </row>
    <row r="416" spans="1:15" x14ac:dyDescent="0.3">
      <c r="A416" t="s">
        <v>526</v>
      </c>
      <c r="B416" s="1">
        <v>45773</v>
      </c>
      <c r="C416" t="s">
        <v>213</v>
      </c>
      <c r="D416" t="s">
        <v>60</v>
      </c>
      <c r="E416">
        <v>2</v>
      </c>
      <c r="F416" s="2">
        <v>0.15</v>
      </c>
      <c r="G416" s="2" t="str">
        <f>_xlfn.XLOOKUP(D416,Products!$A$2:$A$11,Products!$B$2:$B$11)</f>
        <v>Water Bottle</v>
      </c>
      <c r="H416" s="2" t="str">
        <f>_xlfn.XLOOKUP(D416,Products!$A$2:$A$11,Products!$C$2:$C$11)</f>
        <v>Lifestyle</v>
      </c>
      <c r="I416" s="3">
        <f>_xlfn.XLOOKUP(D416,Products!$A$2:$A$11,Products!$D$2:$D$11)</f>
        <v>18</v>
      </c>
      <c r="J416" s="3" t="str">
        <f>_xlfn.XLOOKUP(C416,Customers!$A$2:$A$101,Customers!$B$2:$B$101)</f>
        <v>Customer 039</v>
      </c>
      <c r="K416" s="3" t="str">
        <f>_xlfn.XLOOKUP(C416,Customers!$A$2:$A$101,Customers!$C$2:$C$101)</f>
        <v>Birmingham</v>
      </c>
      <c r="L416" s="3" t="str">
        <f>_xlfn.XLOOKUP(C416,Customers!$A$2:$A$101,Customers!$D$2:$D$101)</f>
        <v>Small Business</v>
      </c>
      <c r="M416" s="3">
        <f t="shared" si="13"/>
        <v>30.599999999999998</v>
      </c>
      <c r="N416" s="3">
        <f>E416*_xlfn.XLOOKUP(D416,Products!$A$2:$A$11,Products!$E$2:$E$11)</f>
        <v>14</v>
      </c>
      <c r="O416" s="3">
        <f t="shared" si="12"/>
        <v>16.599999999999998</v>
      </c>
    </row>
    <row r="417" spans="1:15" x14ac:dyDescent="0.3">
      <c r="A417" t="s">
        <v>527</v>
      </c>
      <c r="B417" s="1">
        <v>45820</v>
      </c>
      <c r="C417" t="s">
        <v>54</v>
      </c>
      <c r="D417" t="s">
        <v>19</v>
      </c>
      <c r="E417">
        <v>5</v>
      </c>
      <c r="F417" s="2">
        <v>0.1</v>
      </c>
      <c r="G417" s="2" t="str">
        <f>_xlfn.XLOOKUP(D417,Products!$A$2:$A$11,Products!$B$2:$B$11)</f>
        <v>Backpack</v>
      </c>
      <c r="H417" s="2" t="str">
        <f>_xlfn.XLOOKUP(D417,Products!$A$2:$A$11,Products!$C$2:$C$11)</f>
        <v>Lifestyle</v>
      </c>
      <c r="I417" s="3">
        <f>_xlfn.XLOOKUP(D417,Products!$A$2:$A$11,Products!$D$2:$D$11)</f>
        <v>55</v>
      </c>
      <c r="J417" s="3" t="str">
        <f>_xlfn.XLOOKUP(C417,Customers!$A$2:$A$101,Customers!$B$2:$B$101)</f>
        <v>Customer 062</v>
      </c>
      <c r="K417" s="3" t="str">
        <f>_xlfn.XLOOKUP(C417,Customers!$A$2:$A$101,Customers!$C$2:$C$101)</f>
        <v>Leeds</v>
      </c>
      <c r="L417" s="3" t="str">
        <f>_xlfn.XLOOKUP(C417,Customers!$A$2:$A$101,Customers!$D$2:$D$101)</f>
        <v>Consumer</v>
      </c>
      <c r="M417" s="3">
        <f t="shared" si="13"/>
        <v>247.5</v>
      </c>
      <c r="N417" s="3">
        <f>E417*_xlfn.XLOOKUP(D417,Products!$A$2:$A$11,Products!$E$2:$E$11)</f>
        <v>135</v>
      </c>
      <c r="O417" s="3">
        <f t="shared" si="12"/>
        <v>112.5</v>
      </c>
    </row>
    <row r="418" spans="1:15" x14ac:dyDescent="0.3">
      <c r="A418" t="s">
        <v>528</v>
      </c>
      <c r="B418" s="1">
        <v>45805</v>
      </c>
      <c r="C418" t="s">
        <v>121</v>
      </c>
      <c r="D418" t="s">
        <v>8</v>
      </c>
      <c r="E418">
        <v>5</v>
      </c>
      <c r="F418" s="2">
        <v>0.15</v>
      </c>
      <c r="G418" s="2" t="str">
        <f>_xlfn.XLOOKUP(D418,Products!$A$2:$A$11,Products!$B$2:$B$11)</f>
        <v>USB-C Hub</v>
      </c>
      <c r="H418" s="2" t="str">
        <f>_xlfn.XLOOKUP(D418,Products!$A$2:$A$11,Products!$C$2:$C$11)</f>
        <v>Electronics</v>
      </c>
      <c r="I418" s="3">
        <f>_xlfn.XLOOKUP(D418,Products!$A$2:$A$11,Products!$D$2:$D$11)</f>
        <v>40</v>
      </c>
      <c r="J418" s="3" t="str">
        <f>_xlfn.XLOOKUP(C418,Customers!$A$2:$A$101,Customers!$B$2:$B$101)</f>
        <v>Customer 016</v>
      </c>
      <c r="K418" s="3" t="str">
        <f>_xlfn.XLOOKUP(C418,Customers!$A$2:$A$101,Customers!$C$2:$C$101)</f>
        <v>Leeds</v>
      </c>
      <c r="L418" s="3" t="str">
        <f>_xlfn.XLOOKUP(C418,Customers!$A$2:$A$101,Customers!$D$2:$D$101)</f>
        <v>Consumer</v>
      </c>
      <c r="M418" s="3">
        <f t="shared" si="13"/>
        <v>170</v>
      </c>
      <c r="N418" s="3">
        <f>E418*_xlfn.XLOOKUP(D418,Products!$A$2:$A$11,Products!$E$2:$E$11)</f>
        <v>95</v>
      </c>
      <c r="O418" s="3">
        <f t="shared" si="12"/>
        <v>75</v>
      </c>
    </row>
    <row r="419" spans="1:15" x14ac:dyDescent="0.3">
      <c r="A419" t="s">
        <v>529</v>
      </c>
      <c r="B419" s="1">
        <v>45860</v>
      </c>
      <c r="C419" t="s">
        <v>80</v>
      </c>
      <c r="D419" t="s">
        <v>46</v>
      </c>
      <c r="E419">
        <v>3</v>
      </c>
      <c r="F419" s="2">
        <v>0</v>
      </c>
      <c r="G419" s="2" t="str">
        <f>_xlfn.XLOOKUP(D419,Products!$A$2:$A$11,Products!$B$2:$B$11)</f>
        <v>Keyboard</v>
      </c>
      <c r="H419" s="2" t="str">
        <f>_xlfn.XLOOKUP(D419,Products!$A$2:$A$11,Products!$C$2:$C$11)</f>
        <v>Electronics</v>
      </c>
      <c r="I419" s="3">
        <f>_xlfn.XLOOKUP(D419,Products!$A$2:$A$11,Products!$D$2:$D$11)</f>
        <v>45</v>
      </c>
      <c r="J419" s="3" t="str">
        <f>_xlfn.XLOOKUP(C419,Customers!$A$2:$A$101,Customers!$B$2:$B$101)</f>
        <v>Customer 045</v>
      </c>
      <c r="K419" s="3" t="str">
        <f>_xlfn.XLOOKUP(C419,Customers!$A$2:$A$101,Customers!$C$2:$C$101)</f>
        <v>Sheffield</v>
      </c>
      <c r="L419" s="3" t="str">
        <f>_xlfn.XLOOKUP(C419,Customers!$A$2:$A$101,Customers!$D$2:$D$101)</f>
        <v>Consumer</v>
      </c>
      <c r="M419" s="3">
        <f t="shared" si="13"/>
        <v>135</v>
      </c>
      <c r="N419" s="3">
        <f>E419*_xlfn.XLOOKUP(D419,Products!$A$2:$A$11,Products!$E$2:$E$11)</f>
        <v>66</v>
      </c>
      <c r="O419" s="3">
        <f t="shared" si="12"/>
        <v>69</v>
      </c>
    </row>
    <row r="420" spans="1:15" x14ac:dyDescent="0.3">
      <c r="A420" t="s">
        <v>530</v>
      </c>
      <c r="B420" s="1">
        <v>45805</v>
      </c>
      <c r="C420" t="s">
        <v>182</v>
      </c>
      <c r="D420" t="s">
        <v>30</v>
      </c>
      <c r="E420">
        <v>3</v>
      </c>
      <c r="F420" s="2">
        <v>0.15</v>
      </c>
      <c r="G420" s="2" t="str">
        <f>_xlfn.XLOOKUP(D420,Products!$A$2:$A$11,Products!$B$2:$B$11)</f>
        <v>Wireless Mouse</v>
      </c>
      <c r="H420" s="2" t="str">
        <f>_xlfn.XLOOKUP(D420,Products!$A$2:$A$11,Products!$C$2:$C$11)</f>
        <v>Electronics</v>
      </c>
      <c r="I420" s="3">
        <f>_xlfn.XLOOKUP(D420,Products!$A$2:$A$11,Products!$D$2:$D$11)</f>
        <v>25</v>
      </c>
      <c r="J420" s="3" t="str">
        <f>_xlfn.XLOOKUP(C420,Customers!$A$2:$A$101,Customers!$B$2:$B$101)</f>
        <v>Customer 092</v>
      </c>
      <c r="K420" s="3" t="str">
        <f>_xlfn.XLOOKUP(C420,Customers!$A$2:$A$101,Customers!$C$2:$C$101)</f>
        <v>Sheffield</v>
      </c>
      <c r="L420" s="3" t="str">
        <f>_xlfn.XLOOKUP(C420,Customers!$A$2:$A$101,Customers!$D$2:$D$101)</f>
        <v>Corporate</v>
      </c>
      <c r="M420" s="3">
        <f t="shared" si="13"/>
        <v>63.75</v>
      </c>
      <c r="N420" s="3">
        <f>E420*_xlfn.XLOOKUP(D420,Products!$A$2:$A$11,Products!$E$2:$E$11)</f>
        <v>36</v>
      </c>
      <c r="O420" s="3">
        <f t="shared" si="12"/>
        <v>27.75</v>
      </c>
    </row>
    <row r="421" spans="1:15" x14ac:dyDescent="0.3">
      <c r="A421" t="s">
        <v>531</v>
      </c>
      <c r="B421" s="1">
        <v>45993</v>
      </c>
      <c r="C421" t="s">
        <v>170</v>
      </c>
      <c r="D421" t="s">
        <v>33</v>
      </c>
      <c r="E421">
        <v>2</v>
      </c>
      <c r="F421" s="2">
        <v>0.05</v>
      </c>
      <c r="G421" s="2" t="str">
        <f>_xlfn.XLOOKUP(D421,Products!$A$2:$A$11,Products!$B$2:$B$11)</f>
        <v>Notebook Pack</v>
      </c>
      <c r="H421" s="2" t="str">
        <f>_xlfn.XLOOKUP(D421,Products!$A$2:$A$11,Products!$C$2:$C$11)</f>
        <v>Stationery</v>
      </c>
      <c r="I421" s="3">
        <f>_xlfn.XLOOKUP(D421,Products!$A$2:$A$11,Products!$D$2:$D$11)</f>
        <v>12</v>
      </c>
      <c r="J421" s="3" t="str">
        <f>_xlfn.XLOOKUP(C421,Customers!$A$2:$A$101,Customers!$B$2:$B$101)</f>
        <v>Customer 033</v>
      </c>
      <c r="K421" s="3" t="str">
        <f>_xlfn.XLOOKUP(C421,Customers!$A$2:$A$101,Customers!$C$2:$C$101)</f>
        <v>Bristol</v>
      </c>
      <c r="L421" s="3" t="str">
        <f>_xlfn.XLOOKUP(C421,Customers!$A$2:$A$101,Customers!$D$2:$D$101)</f>
        <v>Consumer</v>
      </c>
      <c r="M421" s="3">
        <f t="shared" si="13"/>
        <v>22.799999999999997</v>
      </c>
      <c r="N421" s="3">
        <f>E421*_xlfn.XLOOKUP(D421,Products!$A$2:$A$11,Products!$E$2:$E$11)</f>
        <v>10</v>
      </c>
      <c r="O421" s="3">
        <f t="shared" si="12"/>
        <v>12.799999999999997</v>
      </c>
    </row>
    <row r="422" spans="1:15" x14ac:dyDescent="0.3">
      <c r="A422" t="s">
        <v>532</v>
      </c>
      <c r="B422" s="1">
        <v>45933</v>
      </c>
      <c r="C422" t="s">
        <v>244</v>
      </c>
      <c r="D422" t="s">
        <v>11</v>
      </c>
      <c r="E422">
        <v>3</v>
      </c>
      <c r="F422" s="2">
        <v>0.05</v>
      </c>
      <c r="G422" s="2" t="str">
        <f>_xlfn.XLOOKUP(D422,Products!$A$2:$A$11,Products!$B$2:$B$11)</f>
        <v>Office Chair</v>
      </c>
      <c r="H422" s="2" t="str">
        <f>_xlfn.XLOOKUP(D422,Products!$A$2:$A$11,Products!$C$2:$C$11)</f>
        <v>Office</v>
      </c>
      <c r="I422" s="3">
        <f>_xlfn.XLOOKUP(D422,Products!$A$2:$A$11,Products!$D$2:$D$11)</f>
        <v>180</v>
      </c>
      <c r="J422" s="3" t="str">
        <f>_xlfn.XLOOKUP(C422,Customers!$A$2:$A$101,Customers!$B$2:$B$101)</f>
        <v>Customer 035</v>
      </c>
      <c r="K422" s="3" t="str">
        <f>_xlfn.XLOOKUP(C422,Customers!$A$2:$A$101,Customers!$C$2:$C$101)</f>
        <v>London</v>
      </c>
      <c r="L422" s="3" t="str">
        <f>_xlfn.XLOOKUP(C422,Customers!$A$2:$A$101,Customers!$D$2:$D$101)</f>
        <v>Corporate</v>
      </c>
      <c r="M422" s="3">
        <f t="shared" si="13"/>
        <v>513</v>
      </c>
      <c r="N422" s="3">
        <f>E422*_xlfn.XLOOKUP(D422,Products!$A$2:$A$11,Products!$E$2:$E$11)</f>
        <v>315</v>
      </c>
      <c r="O422" s="3">
        <f t="shared" si="12"/>
        <v>198</v>
      </c>
    </row>
    <row r="423" spans="1:15" x14ac:dyDescent="0.3">
      <c r="A423" t="s">
        <v>533</v>
      </c>
      <c r="B423" s="1">
        <v>45713</v>
      </c>
      <c r="C423" t="s">
        <v>137</v>
      </c>
      <c r="D423" t="s">
        <v>8</v>
      </c>
      <c r="E423">
        <v>2</v>
      </c>
      <c r="F423" s="2">
        <v>0.05</v>
      </c>
      <c r="G423" s="2" t="str">
        <f>_xlfn.XLOOKUP(D423,Products!$A$2:$A$11,Products!$B$2:$B$11)</f>
        <v>USB-C Hub</v>
      </c>
      <c r="H423" s="2" t="str">
        <f>_xlfn.XLOOKUP(D423,Products!$A$2:$A$11,Products!$C$2:$C$11)</f>
        <v>Electronics</v>
      </c>
      <c r="I423" s="3">
        <f>_xlfn.XLOOKUP(D423,Products!$A$2:$A$11,Products!$D$2:$D$11)</f>
        <v>40</v>
      </c>
      <c r="J423" s="3" t="str">
        <f>_xlfn.XLOOKUP(C423,Customers!$A$2:$A$101,Customers!$B$2:$B$101)</f>
        <v>Customer 079</v>
      </c>
      <c r="K423" s="3" t="str">
        <f>_xlfn.XLOOKUP(C423,Customers!$A$2:$A$101,Customers!$C$2:$C$101)</f>
        <v>Birmingham</v>
      </c>
      <c r="L423" s="3" t="str">
        <f>_xlfn.XLOOKUP(C423,Customers!$A$2:$A$101,Customers!$D$2:$D$101)</f>
        <v>Corporate</v>
      </c>
      <c r="M423" s="3">
        <f t="shared" si="13"/>
        <v>76</v>
      </c>
      <c r="N423" s="3">
        <f>E423*_xlfn.XLOOKUP(D423,Products!$A$2:$A$11,Products!$E$2:$E$11)</f>
        <v>38</v>
      </c>
      <c r="O423" s="3">
        <f t="shared" si="12"/>
        <v>38</v>
      </c>
    </row>
    <row r="424" spans="1:15" x14ac:dyDescent="0.3">
      <c r="A424" t="s">
        <v>534</v>
      </c>
      <c r="B424" s="1">
        <v>45683</v>
      </c>
      <c r="C424" t="s">
        <v>32</v>
      </c>
      <c r="D424" t="s">
        <v>11</v>
      </c>
      <c r="E424">
        <v>2</v>
      </c>
      <c r="F424" s="2">
        <v>0.05</v>
      </c>
      <c r="G424" s="2" t="str">
        <f>_xlfn.XLOOKUP(D424,Products!$A$2:$A$11,Products!$B$2:$B$11)</f>
        <v>Office Chair</v>
      </c>
      <c r="H424" s="2" t="str">
        <f>_xlfn.XLOOKUP(D424,Products!$A$2:$A$11,Products!$C$2:$C$11)</f>
        <v>Office</v>
      </c>
      <c r="I424" s="3">
        <f>_xlfn.XLOOKUP(D424,Products!$A$2:$A$11,Products!$D$2:$D$11)</f>
        <v>180</v>
      </c>
      <c r="J424" s="3" t="str">
        <f>_xlfn.XLOOKUP(C424,Customers!$A$2:$A$101,Customers!$B$2:$B$101)</f>
        <v>Customer 086</v>
      </c>
      <c r="K424" s="3" t="str">
        <f>_xlfn.XLOOKUP(C424,Customers!$A$2:$A$101,Customers!$C$2:$C$101)</f>
        <v>Manchester</v>
      </c>
      <c r="L424" s="3" t="str">
        <f>_xlfn.XLOOKUP(C424,Customers!$A$2:$A$101,Customers!$D$2:$D$101)</f>
        <v>Small Business</v>
      </c>
      <c r="M424" s="3">
        <f t="shared" si="13"/>
        <v>342</v>
      </c>
      <c r="N424" s="3">
        <f>E424*_xlfn.XLOOKUP(D424,Products!$A$2:$A$11,Products!$E$2:$E$11)</f>
        <v>210</v>
      </c>
      <c r="O424" s="3">
        <f t="shared" si="12"/>
        <v>132</v>
      </c>
    </row>
    <row r="425" spans="1:15" x14ac:dyDescent="0.3">
      <c r="A425" t="s">
        <v>535</v>
      </c>
      <c r="B425" s="1">
        <v>45684</v>
      </c>
      <c r="C425" t="s">
        <v>50</v>
      </c>
      <c r="D425" t="s">
        <v>16</v>
      </c>
      <c r="E425">
        <v>3</v>
      </c>
      <c r="F425" s="2">
        <v>0.15</v>
      </c>
      <c r="G425" s="2" t="str">
        <f>_xlfn.XLOOKUP(D425,Products!$A$2:$A$11,Products!$B$2:$B$11)</f>
        <v>Headphones</v>
      </c>
      <c r="H425" s="2" t="str">
        <f>_xlfn.XLOOKUP(D425,Products!$A$2:$A$11,Products!$C$2:$C$11)</f>
        <v>Electronics</v>
      </c>
      <c r="I425" s="3">
        <f>_xlfn.XLOOKUP(D425,Products!$A$2:$A$11,Products!$D$2:$D$11)</f>
        <v>75</v>
      </c>
      <c r="J425" s="3" t="str">
        <f>_xlfn.XLOOKUP(C425,Customers!$A$2:$A$101,Customers!$B$2:$B$101)</f>
        <v>Customer 013</v>
      </c>
      <c r="K425" s="3" t="str">
        <f>_xlfn.XLOOKUP(C425,Customers!$A$2:$A$101,Customers!$C$2:$C$101)</f>
        <v>Bristol</v>
      </c>
      <c r="L425" s="3" t="str">
        <f>_xlfn.XLOOKUP(C425,Customers!$A$2:$A$101,Customers!$D$2:$D$101)</f>
        <v>Consumer</v>
      </c>
      <c r="M425" s="3">
        <f t="shared" si="13"/>
        <v>191.25</v>
      </c>
      <c r="N425" s="3">
        <f>E425*_xlfn.XLOOKUP(D425,Products!$A$2:$A$11,Products!$E$2:$E$11)</f>
        <v>120</v>
      </c>
      <c r="O425" s="3">
        <f t="shared" si="12"/>
        <v>71.25</v>
      </c>
    </row>
    <row r="426" spans="1:15" x14ac:dyDescent="0.3">
      <c r="A426" t="s">
        <v>536</v>
      </c>
      <c r="B426" s="1">
        <v>45709</v>
      </c>
      <c r="C426" t="s">
        <v>233</v>
      </c>
      <c r="D426" t="s">
        <v>46</v>
      </c>
      <c r="E426">
        <v>1</v>
      </c>
      <c r="F426" s="2">
        <v>0.05</v>
      </c>
      <c r="G426" s="2" t="str">
        <f>_xlfn.XLOOKUP(D426,Products!$A$2:$A$11,Products!$B$2:$B$11)</f>
        <v>Keyboard</v>
      </c>
      <c r="H426" s="2" t="str">
        <f>_xlfn.XLOOKUP(D426,Products!$A$2:$A$11,Products!$C$2:$C$11)</f>
        <v>Electronics</v>
      </c>
      <c r="I426" s="3">
        <f>_xlfn.XLOOKUP(D426,Products!$A$2:$A$11,Products!$D$2:$D$11)</f>
        <v>45</v>
      </c>
      <c r="J426" s="3" t="str">
        <f>_xlfn.XLOOKUP(C426,Customers!$A$2:$A$101,Customers!$B$2:$B$101)</f>
        <v>Customer 088</v>
      </c>
      <c r="K426" s="3" t="str">
        <f>_xlfn.XLOOKUP(C426,Customers!$A$2:$A$101,Customers!$C$2:$C$101)</f>
        <v>Sheffield</v>
      </c>
      <c r="L426" s="3" t="str">
        <f>_xlfn.XLOOKUP(C426,Customers!$A$2:$A$101,Customers!$D$2:$D$101)</f>
        <v>Small Business</v>
      </c>
      <c r="M426" s="3">
        <f t="shared" si="13"/>
        <v>42.75</v>
      </c>
      <c r="N426" s="3">
        <f>E426*_xlfn.XLOOKUP(D426,Products!$A$2:$A$11,Products!$E$2:$E$11)</f>
        <v>22</v>
      </c>
      <c r="O426" s="3">
        <f t="shared" si="12"/>
        <v>20.75</v>
      </c>
    </row>
    <row r="427" spans="1:15" x14ac:dyDescent="0.3">
      <c r="A427" t="s">
        <v>537</v>
      </c>
      <c r="B427" s="1">
        <v>45866</v>
      </c>
      <c r="C427" t="s">
        <v>41</v>
      </c>
      <c r="D427" t="s">
        <v>33</v>
      </c>
      <c r="E427">
        <v>4</v>
      </c>
      <c r="F427" s="2">
        <v>0.05</v>
      </c>
      <c r="G427" s="2" t="str">
        <f>_xlfn.XLOOKUP(D427,Products!$A$2:$A$11,Products!$B$2:$B$11)</f>
        <v>Notebook Pack</v>
      </c>
      <c r="H427" s="2" t="str">
        <f>_xlfn.XLOOKUP(D427,Products!$A$2:$A$11,Products!$C$2:$C$11)</f>
        <v>Stationery</v>
      </c>
      <c r="I427" s="3">
        <f>_xlfn.XLOOKUP(D427,Products!$A$2:$A$11,Products!$D$2:$D$11)</f>
        <v>12</v>
      </c>
      <c r="J427" s="3" t="str">
        <f>_xlfn.XLOOKUP(C427,Customers!$A$2:$A$101,Customers!$B$2:$B$101)</f>
        <v>Customer 084</v>
      </c>
      <c r="K427" s="3" t="str">
        <f>_xlfn.XLOOKUP(C427,Customers!$A$2:$A$101,Customers!$C$2:$C$101)</f>
        <v>Birmingham</v>
      </c>
      <c r="L427" s="3" t="str">
        <f>_xlfn.XLOOKUP(C427,Customers!$A$2:$A$101,Customers!$D$2:$D$101)</f>
        <v>Consumer</v>
      </c>
      <c r="M427" s="3">
        <f t="shared" si="13"/>
        <v>45.599999999999994</v>
      </c>
      <c r="N427" s="3">
        <f>E427*_xlfn.XLOOKUP(D427,Products!$A$2:$A$11,Products!$E$2:$E$11)</f>
        <v>20</v>
      </c>
      <c r="O427" s="3">
        <f t="shared" si="12"/>
        <v>25.599999999999994</v>
      </c>
    </row>
    <row r="428" spans="1:15" x14ac:dyDescent="0.3">
      <c r="A428" t="s">
        <v>538</v>
      </c>
      <c r="B428" s="1">
        <v>45805</v>
      </c>
      <c r="C428" t="s">
        <v>168</v>
      </c>
      <c r="D428" t="s">
        <v>60</v>
      </c>
      <c r="E428">
        <v>1</v>
      </c>
      <c r="F428" s="2">
        <v>0</v>
      </c>
      <c r="G428" s="2" t="str">
        <f>_xlfn.XLOOKUP(D428,Products!$A$2:$A$11,Products!$B$2:$B$11)</f>
        <v>Water Bottle</v>
      </c>
      <c r="H428" s="2" t="str">
        <f>_xlfn.XLOOKUP(D428,Products!$A$2:$A$11,Products!$C$2:$C$11)</f>
        <v>Lifestyle</v>
      </c>
      <c r="I428" s="3">
        <f>_xlfn.XLOOKUP(D428,Products!$A$2:$A$11,Products!$D$2:$D$11)</f>
        <v>18</v>
      </c>
      <c r="J428" s="3" t="str">
        <f>_xlfn.XLOOKUP(C428,Customers!$A$2:$A$101,Customers!$B$2:$B$101)</f>
        <v>Customer 042</v>
      </c>
      <c r="K428" s="3" t="str">
        <f>_xlfn.XLOOKUP(C428,Customers!$A$2:$A$101,Customers!$C$2:$C$101)</f>
        <v>Birmingham</v>
      </c>
      <c r="L428" s="3" t="str">
        <f>_xlfn.XLOOKUP(C428,Customers!$A$2:$A$101,Customers!$D$2:$D$101)</f>
        <v>Consumer</v>
      </c>
      <c r="M428" s="3">
        <f t="shared" si="13"/>
        <v>18</v>
      </c>
      <c r="N428" s="3">
        <f>E428*_xlfn.XLOOKUP(D428,Products!$A$2:$A$11,Products!$E$2:$E$11)</f>
        <v>7</v>
      </c>
      <c r="O428" s="3">
        <f t="shared" si="12"/>
        <v>11</v>
      </c>
    </row>
    <row r="429" spans="1:15" x14ac:dyDescent="0.3">
      <c r="A429" t="s">
        <v>539</v>
      </c>
      <c r="B429" s="1">
        <v>45991</v>
      </c>
      <c r="C429" t="s">
        <v>35</v>
      </c>
      <c r="D429" t="s">
        <v>22</v>
      </c>
      <c r="E429">
        <v>5</v>
      </c>
      <c r="F429" s="2">
        <v>0</v>
      </c>
      <c r="G429" s="2" t="str">
        <f>_xlfn.XLOOKUP(D429,Products!$A$2:$A$11,Products!$B$2:$B$11)</f>
        <v>Desk Lamp</v>
      </c>
      <c r="H429" s="2" t="str">
        <f>_xlfn.XLOOKUP(D429,Products!$A$2:$A$11,Products!$C$2:$C$11)</f>
        <v>Office</v>
      </c>
      <c r="I429" s="3">
        <f>_xlfn.XLOOKUP(D429,Products!$A$2:$A$11,Products!$D$2:$D$11)</f>
        <v>30</v>
      </c>
      <c r="J429" s="3" t="str">
        <f>_xlfn.XLOOKUP(C429,Customers!$A$2:$A$101,Customers!$B$2:$B$101)</f>
        <v>Customer 074</v>
      </c>
      <c r="K429" s="3" t="str">
        <f>_xlfn.XLOOKUP(C429,Customers!$A$2:$A$101,Customers!$C$2:$C$101)</f>
        <v>Manchester</v>
      </c>
      <c r="L429" s="3" t="str">
        <f>_xlfn.XLOOKUP(C429,Customers!$A$2:$A$101,Customers!$D$2:$D$101)</f>
        <v>Corporate</v>
      </c>
      <c r="M429" s="3">
        <f t="shared" si="13"/>
        <v>150</v>
      </c>
      <c r="N429" s="3">
        <f>E429*_xlfn.XLOOKUP(D429,Products!$A$2:$A$11,Products!$E$2:$E$11)</f>
        <v>75</v>
      </c>
      <c r="O429" s="3">
        <f t="shared" si="12"/>
        <v>75</v>
      </c>
    </row>
    <row r="430" spans="1:15" x14ac:dyDescent="0.3">
      <c r="A430" t="s">
        <v>540</v>
      </c>
      <c r="B430" s="1">
        <v>45747</v>
      </c>
      <c r="C430" t="s">
        <v>188</v>
      </c>
      <c r="D430" t="s">
        <v>46</v>
      </c>
      <c r="E430">
        <v>1</v>
      </c>
      <c r="F430" s="2">
        <v>0.15</v>
      </c>
      <c r="G430" s="2" t="str">
        <f>_xlfn.XLOOKUP(D430,Products!$A$2:$A$11,Products!$B$2:$B$11)</f>
        <v>Keyboard</v>
      </c>
      <c r="H430" s="2" t="str">
        <f>_xlfn.XLOOKUP(D430,Products!$A$2:$A$11,Products!$C$2:$C$11)</f>
        <v>Electronics</v>
      </c>
      <c r="I430" s="3">
        <f>_xlfn.XLOOKUP(D430,Products!$A$2:$A$11,Products!$D$2:$D$11)</f>
        <v>45</v>
      </c>
      <c r="J430" s="3" t="str">
        <f>_xlfn.XLOOKUP(C430,Customers!$A$2:$A$101,Customers!$B$2:$B$101)</f>
        <v>Customer 054</v>
      </c>
      <c r="K430" s="3" t="str">
        <f>_xlfn.XLOOKUP(C430,Customers!$A$2:$A$101,Customers!$C$2:$C$101)</f>
        <v>London</v>
      </c>
      <c r="L430" s="3" t="str">
        <f>_xlfn.XLOOKUP(C430,Customers!$A$2:$A$101,Customers!$D$2:$D$101)</f>
        <v>Consumer</v>
      </c>
      <c r="M430" s="3">
        <f t="shared" si="13"/>
        <v>38.25</v>
      </c>
      <c r="N430" s="3">
        <f>E430*_xlfn.XLOOKUP(D430,Products!$A$2:$A$11,Products!$E$2:$E$11)</f>
        <v>22</v>
      </c>
      <c r="O430" s="3">
        <f t="shared" si="12"/>
        <v>16.25</v>
      </c>
    </row>
    <row r="431" spans="1:15" x14ac:dyDescent="0.3">
      <c r="A431" t="s">
        <v>541</v>
      </c>
      <c r="B431" s="1">
        <v>45911</v>
      </c>
      <c r="C431" t="s">
        <v>218</v>
      </c>
      <c r="D431" t="s">
        <v>60</v>
      </c>
      <c r="E431">
        <v>1</v>
      </c>
      <c r="F431" s="2">
        <v>0</v>
      </c>
      <c r="G431" s="2" t="str">
        <f>_xlfn.XLOOKUP(D431,Products!$A$2:$A$11,Products!$B$2:$B$11)</f>
        <v>Water Bottle</v>
      </c>
      <c r="H431" s="2" t="str">
        <f>_xlfn.XLOOKUP(D431,Products!$A$2:$A$11,Products!$C$2:$C$11)</f>
        <v>Lifestyle</v>
      </c>
      <c r="I431" s="3">
        <f>_xlfn.XLOOKUP(D431,Products!$A$2:$A$11,Products!$D$2:$D$11)</f>
        <v>18</v>
      </c>
      <c r="J431" s="3" t="str">
        <f>_xlfn.XLOOKUP(C431,Customers!$A$2:$A$101,Customers!$B$2:$B$101)</f>
        <v>Customer 024</v>
      </c>
      <c r="K431" s="3" t="str">
        <f>_xlfn.XLOOKUP(C431,Customers!$A$2:$A$101,Customers!$C$2:$C$101)</f>
        <v>Leeds</v>
      </c>
      <c r="L431" s="3" t="str">
        <f>_xlfn.XLOOKUP(C431,Customers!$A$2:$A$101,Customers!$D$2:$D$101)</f>
        <v>Consumer</v>
      </c>
      <c r="M431" s="3">
        <f t="shared" si="13"/>
        <v>18</v>
      </c>
      <c r="N431" s="3">
        <f>E431*_xlfn.XLOOKUP(D431,Products!$A$2:$A$11,Products!$E$2:$E$11)</f>
        <v>7</v>
      </c>
      <c r="O431" s="3">
        <f t="shared" si="12"/>
        <v>11</v>
      </c>
    </row>
    <row r="432" spans="1:15" x14ac:dyDescent="0.3">
      <c r="A432" t="s">
        <v>542</v>
      </c>
      <c r="B432" s="1">
        <v>45810</v>
      </c>
      <c r="C432" t="s">
        <v>196</v>
      </c>
      <c r="D432" t="s">
        <v>8</v>
      </c>
      <c r="E432">
        <v>1</v>
      </c>
      <c r="F432" s="2">
        <v>0.1</v>
      </c>
      <c r="G432" s="2" t="str">
        <f>_xlfn.XLOOKUP(D432,Products!$A$2:$A$11,Products!$B$2:$B$11)</f>
        <v>USB-C Hub</v>
      </c>
      <c r="H432" s="2" t="str">
        <f>_xlfn.XLOOKUP(D432,Products!$A$2:$A$11,Products!$C$2:$C$11)</f>
        <v>Electronics</v>
      </c>
      <c r="I432" s="3">
        <f>_xlfn.XLOOKUP(D432,Products!$A$2:$A$11,Products!$D$2:$D$11)</f>
        <v>40</v>
      </c>
      <c r="J432" s="3" t="str">
        <f>_xlfn.XLOOKUP(C432,Customers!$A$2:$A$101,Customers!$B$2:$B$101)</f>
        <v>Customer 073</v>
      </c>
      <c r="K432" s="3" t="str">
        <f>_xlfn.XLOOKUP(C432,Customers!$A$2:$A$101,Customers!$C$2:$C$101)</f>
        <v>Manchester</v>
      </c>
      <c r="L432" s="3" t="str">
        <f>_xlfn.XLOOKUP(C432,Customers!$A$2:$A$101,Customers!$D$2:$D$101)</f>
        <v>Corporate</v>
      </c>
      <c r="M432" s="3">
        <f t="shared" si="13"/>
        <v>36</v>
      </c>
      <c r="N432" s="3">
        <f>E432*_xlfn.XLOOKUP(D432,Products!$A$2:$A$11,Products!$E$2:$E$11)</f>
        <v>19</v>
      </c>
      <c r="O432" s="3">
        <f t="shared" si="12"/>
        <v>17</v>
      </c>
    </row>
    <row r="433" spans="1:15" x14ac:dyDescent="0.3">
      <c r="A433" t="s">
        <v>543</v>
      </c>
      <c r="B433" s="1">
        <v>45803</v>
      </c>
      <c r="C433" t="s">
        <v>318</v>
      </c>
      <c r="D433" t="s">
        <v>11</v>
      </c>
      <c r="E433">
        <v>5</v>
      </c>
      <c r="F433" s="2">
        <v>0.15</v>
      </c>
      <c r="G433" s="2" t="str">
        <f>_xlfn.XLOOKUP(D433,Products!$A$2:$A$11,Products!$B$2:$B$11)</f>
        <v>Office Chair</v>
      </c>
      <c r="H433" s="2" t="str">
        <f>_xlfn.XLOOKUP(D433,Products!$A$2:$A$11,Products!$C$2:$C$11)</f>
        <v>Office</v>
      </c>
      <c r="I433" s="3">
        <f>_xlfn.XLOOKUP(D433,Products!$A$2:$A$11,Products!$D$2:$D$11)</f>
        <v>180</v>
      </c>
      <c r="J433" s="3" t="str">
        <f>_xlfn.XLOOKUP(C433,Customers!$A$2:$A$101,Customers!$B$2:$B$101)</f>
        <v>Customer 059</v>
      </c>
      <c r="K433" s="3" t="str">
        <f>_xlfn.XLOOKUP(C433,Customers!$A$2:$A$101,Customers!$C$2:$C$101)</f>
        <v>Birmingham</v>
      </c>
      <c r="L433" s="3" t="str">
        <f>_xlfn.XLOOKUP(C433,Customers!$A$2:$A$101,Customers!$D$2:$D$101)</f>
        <v>Consumer</v>
      </c>
      <c r="M433" s="3">
        <f t="shared" si="13"/>
        <v>765</v>
      </c>
      <c r="N433" s="3">
        <f>E433*_xlfn.XLOOKUP(D433,Products!$A$2:$A$11,Products!$E$2:$E$11)</f>
        <v>525</v>
      </c>
      <c r="O433" s="3">
        <f t="shared" si="12"/>
        <v>240</v>
      </c>
    </row>
    <row r="434" spans="1:15" x14ac:dyDescent="0.3">
      <c r="A434" t="s">
        <v>544</v>
      </c>
      <c r="B434" s="1">
        <v>45726</v>
      </c>
      <c r="C434" t="s">
        <v>304</v>
      </c>
      <c r="D434" t="s">
        <v>33</v>
      </c>
      <c r="E434">
        <v>3</v>
      </c>
      <c r="F434" s="2">
        <v>0.05</v>
      </c>
      <c r="G434" s="2" t="str">
        <f>_xlfn.XLOOKUP(D434,Products!$A$2:$A$11,Products!$B$2:$B$11)</f>
        <v>Notebook Pack</v>
      </c>
      <c r="H434" s="2" t="str">
        <f>_xlfn.XLOOKUP(D434,Products!$A$2:$A$11,Products!$C$2:$C$11)</f>
        <v>Stationery</v>
      </c>
      <c r="I434" s="3">
        <f>_xlfn.XLOOKUP(D434,Products!$A$2:$A$11,Products!$D$2:$D$11)</f>
        <v>12</v>
      </c>
      <c r="J434" s="3" t="str">
        <f>_xlfn.XLOOKUP(C434,Customers!$A$2:$A$101,Customers!$B$2:$B$101)</f>
        <v>Customer 065</v>
      </c>
      <c r="K434" s="3" t="str">
        <f>_xlfn.XLOOKUP(C434,Customers!$A$2:$A$101,Customers!$C$2:$C$101)</f>
        <v>Bristol</v>
      </c>
      <c r="L434" s="3" t="str">
        <f>_xlfn.XLOOKUP(C434,Customers!$A$2:$A$101,Customers!$D$2:$D$101)</f>
        <v>Corporate</v>
      </c>
      <c r="M434" s="3">
        <f t="shared" si="13"/>
        <v>34.199999999999996</v>
      </c>
      <c r="N434" s="3">
        <f>E434*_xlfn.XLOOKUP(D434,Products!$A$2:$A$11,Products!$E$2:$E$11)</f>
        <v>15</v>
      </c>
      <c r="O434" s="3">
        <f t="shared" si="12"/>
        <v>19.199999999999996</v>
      </c>
    </row>
    <row r="435" spans="1:15" x14ac:dyDescent="0.3">
      <c r="A435" t="s">
        <v>545</v>
      </c>
      <c r="B435" s="1">
        <v>45715</v>
      </c>
      <c r="C435" t="s">
        <v>29</v>
      </c>
      <c r="D435" t="s">
        <v>46</v>
      </c>
      <c r="E435">
        <v>4</v>
      </c>
      <c r="F435" s="2">
        <v>0.1</v>
      </c>
      <c r="G435" s="2" t="str">
        <f>_xlfn.XLOOKUP(D435,Products!$A$2:$A$11,Products!$B$2:$B$11)</f>
        <v>Keyboard</v>
      </c>
      <c r="H435" s="2" t="str">
        <f>_xlfn.XLOOKUP(D435,Products!$A$2:$A$11,Products!$C$2:$C$11)</f>
        <v>Electronics</v>
      </c>
      <c r="I435" s="3">
        <f>_xlfn.XLOOKUP(D435,Products!$A$2:$A$11,Products!$D$2:$D$11)</f>
        <v>45</v>
      </c>
      <c r="J435" s="3" t="str">
        <f>_xlfn.XLOOKUP(C435,Customers!$A$2:$A$101,Customers!$B$2:$B$101)</f>
        <v>Customer 043</v>
      </c>
      <c r="K435" s="3" t="str">
        <f>_xlfn.XLOOKUP(C435,Customers!$A$2:$A$101,Customers!$C$2:$C$101)</f>
        <v>Sheffield</v>
      </c>
      <c r="L435" s="3" t="str">
        <f>_xlfn.XLOOKUP(C435,Customers!$A$2:$A$101,Customers!$D$2:$D$101)</f>
        <v>Small Business</v>
      </c>
      <c r="M435" s="3">
        <f t="shared" si="13"/>
        <v>162</v>
      </c>
      <c r="N435" s="3">
        <f>E435*_xlfn.XLOOKUP(D435,Products!$A$2:$A$11,Products!$E$2:$E$11)</f>
        <v>88</v>
      </c>
      <c r="O435" s="3">
        <f t="shared" si="12"/>
        <v>74</v>
      </c>
    </row>
    <row r="436" spans="1:15" x14ac:dyDescent="0.3">
      <c r="A436" t="s">
        <v>546</v>
      </c>
      <c r="B436" s="1">
        <v>45753</v>
      </c>
      <c r="C436" t="s">
        <v>76</v>
      </c>
      <c r="D436" t="s">
        <v>19</v>
      </c>
      <c r="E436">
        <v>3</v>
      </c>
      <c r="F436" s="2">
        <v>0.05</v>
      </c>
      <c r="G436" s="2" t="str">
        <f>_xlfn.XLOOKUP(D436,Products!$A$2:$A$11,Products!$B$2:$B$11)</f>
        <v>Backpack</v>
      </c>
      <c r="H436" s="2" t="str">
        <f>_xlfn.XLOOKUP(D436,Products!$A$2:$A$11,Products!$C$2:$C$11)</f>
        <v>Lifestyle</v>
      </c>
      <c r="I436" s="3">
        <f>_xlfn.XLOOKUP(D436,Products!$A$2:$A$11,Products!$D$2:$D$11)</f>
        <v>55</v>
      </c>
      <c r="J436" s="3" t="str">
        <f>_xlfn.XLOOKUP(C436,Customers!$A$2:$A$101,Customers!$B$2:$B$101)</f>
        <v>Customer 002</v>
      </c>
      <c r="K436" s="3" t="str">
        <f>_xlfn.XLOOKUP(C436,Customers!$A$2:$A$101,Customers!$C$2:$C$101)</f>
        <v>London</v>
      </c>
      <c r="L436" s="3" t="str">
        <f>_xlfn.XLOOKUP(C436,Customers!$A$2:$A$101,Customers!$D$2:$D$101)</f>
        <v>Corporate</v>
      </c>
      <c r="M436" s="3">
        <f t="shared" si="13"/>
        <v>156.75</v>
      </c>
      <c r="N436" s="3">
        <f>E436*_xlfn.XLOOKUP(D436,Products!$A$2:$A$11,Products!$E$2:$E$11)</f>
        <v>81</v>
      </c>
      <c r="O436" s="3">
        <f t="shared" si="12"/>
        <v>75.75</v>
      </c>
    </row>
    <row r="437" spans="1:15" x14ac:dyDescent="0.3">
      <c r="A437" t="s">
        <v>547</v>
      </c>
      <c r="B437" s="1">
        <v>45747</v>
      </c>
      <c r="C437" t="s">
        <v>137</v>
      </c>
      <c r="D437" t="s">
        <v>16</v>
      </c>
      <c r="E437">
        <v>4</v>
      </c>
      <c r="F437" s="2">
        <v>0.1</v>
      </c>
      <c r="G437" s="2" t="str">
        <f>_xlfn.XLOOKUP(D437,Products!$A$2:$A$11,Products!$B$2:$B$11)</f>
        <v>Headphones</v>
      </c>
      <c r="H437" s="2" t="str">
        <f>_xlfn.XLOOKUP(D437,Products!$A$2:$A$11,Products!$C$2:$C$11)</f>
        <v>Electronics</v>
      </c>
      <c r="I437" s="3">
        <f>_xlfn.XLOOKUP(D437,Products!$A$2:$A$11,Products!$D$2:$D$11)</f>
        <v>75</v>
      </c>
      <c r="J437" s="3" t="str">
        <f>_xlfn.XLOOKUP(C437,Customers!$A$2:$A$101,Customers!$B$2:$B$101)</f>
        <v>Customer 079</v>
      </c>
      <c r="K437" s="3" t="str">
        <f>_xlfn.XLOOKUP(C437,Customers!$A$2:$A$101,Customers!$C$2:$C$101)</f>
        <v>Birmingham</v>
      </c>
      <c r="L437" s="3" t="str">
        <f>_xlfn.XLOOKUP(C437,Customers!$A$2:$A$101,Customers!$D$2:$D$101)</f>
        <v>Corporate</v>
      </c>
      <c r="M437" s="3">
        <f t="shared" si="13"/>
        <v>270</v>
      </c>
      <c r="N437" s="3">
        <f>E437*_xlfn.XLOOKUP(D437,Products!$A$2:$A$11,Products!$E$2:$E$11)</f>
        <v>160</v>
      </c>
      <c r="O437" s="3">
        <f t="shared" si="12"/>
        <v>110</v>
      </c>
    </row>
    <row r="438" spans="1:15" x14ac:dyDescent="0.3">
      <c r="A438" t="s">
        <v>548</v>
      </c>
      <c r="B438" s="1">
        <v>45702</v>
      </c>
      <c r="C438" t="s">
        <v>18</v>
      </c>
      <c r="D438" t="s">
        <v>30</v>
      </c>
      <c r="E438">
        <v>2</v>
      </c>
      <c r="F438" s="2">
        <v>0.05</v>
      </c>
      <c r="G438" s="2" t="str">
        <f>_xlfn.XLOOKUP(D438,Products!$A$2:$A$11,Products!$B$2:$B$11)</f>
        <v>Wireless Mouse</v>
      </c>
      <c r="H438" s="2" t="str">
        <f>_xlfn.XLOOKUP(D438,Products!$A$2:$A$11,Products!$C$2:$C$11)</f>
        <v>Electronics</v>
      </c>
      <c r="I438" s="3">
        <f>_xlfn.XLOOKUP(D438,Products!$A$2:$A$11,Products!$D$2:$D$11)</f>
        <v>25</v>
      </c>
      <c r="J438" s="3" t="str">
        <f>_xlfn.XLOOKUP(C438,Customers!$A$2:$A$101,Customers!$B$2:$B$101)</f>
        <v>Customer 052</v>
      </c>
      <c r="K438" s="3" t="str">
        <f>_xlfn.XLOOKUP(C438,Customers!$A$2:$A$101,Customers!$C$2:$C$101)</f>
        <v>Bristol</v>
      </c>
      <c r="L438" s="3" t="str">
        <f>_xlfn.XLOOKUP(C438,Customers!$A$2:$A$101,Customers!$D$2:$D$101)</f>
        <v>Consumer</v>
      </c>
      <c r="M438" s="3">
        <f t="shared" si="13"/>
        <v>47.5</v>
      </c>
      <c r="N438" s="3">
        <f>E438*_xlfn.XLOOKUP(D438,Products!$A$2:$A$11,Products!$E$2:$E$11)</f>
        <v>24</v>
      </c>
      <c r="O438" s="3">
        <f t="shared" si="12"/>
        <v>23.5</v>
      </c>
    </row>
    <row r="439" spans="1:15" x14ac:dyDescent="0.3">
      <c r="A439" t="s">
        <v>549</v>
      </c>
      <c r="B439" s="1">
        <v>45902</v>
      </c>
      <c r="C439" t="s">
        <v>168</v>
      </c>
      <c r="D439" t="s">
        <v>22</v>
      </c>
      <c r="E439">
        <v>1</v>
      </c>
      <c r="F439" s="2">
        <v>0.1</v>
      </c>
      <c r="G439" s="2" t="str">
        <f>_xlfn.XLOOKUP(D439,Products!$A$2:$A$11,Products!$B$2:$B$11)</f>
        <v>Desk Lamp</v>
      </c>
      <c r="H439" s="2" t="str">
        <f>_xlfn.XLOOKUP(D439,Products!$A$2:$A$11,Products!$C$2:$C$11)</f>
        <v>Office</v>
      </c>
      <c r="I439" s="3">
        <f>_xlfn.XLOOKUP(D439,Products!$A$2:$A$11,Products!$D$2:$D$11)</f>
        <v>30</v>
      </c>
      <c r="J439" s="3" t="str">
        <f>_xlfn.XLOOKUP(C439,Customers!$A$2:$A$101,Customers!$B$2:$B$101)</f>
        <v>Customer 042</v>
      </c>
      <c r="K439" s="3" t="str">
        <f>_xlfn.XLOOKUP(C439,Customers!$A$2:$A$101,Customers!$C$2:$C$101)</f>
        <v>Birmingham</v>
      </c>
      <c r="L439" s="3" t="str">
        <f>_xlfn.XLOOKUP(C439,Customers!$A$2:$A$101,Customers!$D$2:$D$101)</f>
        <v>Consumer</v>
      </c>
      <c r="M439" s="3">
        <f t="shared" si="13"/>
        <v>27</v>
      </c>
      <c r="N439" s="3">
        <f>E439*_xlfn.XLOOKUP(D439,Products!$A$2:$A$11,Products!$E$2:$E$11)</f>
        <v>15</v>
      </c>
      <c r="O439" s="3">
        <f t="shared" si="12"/>
        <v>12</v>
      </c>
    </row>
    <row r="440" spans="1:15" x14ac:dyDescent="0.3">
      <c r="A440" t="s">
        <v>550</v>
      </c>
      <c r="B440" s="1">
        <v>45854</v>
      </c>
      <c r="C440" t="s">
        <v>7</v>
      </c>
      <c r="D440" t="s">
        <v>33</v>
      </c>
      <c r="E440">
        <v>3</v>
      </c>
      <c r="F440" s="2">
        <v>0.1</v>
      </c>
      <c r="G440" s="2" t="str">
        <f>_xlfn.XLOOKUP(D440,Products!$A$2:$A$11,Products!$B$2:$B$11)</f>
        <v>Notebook Pack</v>
      </c>
      <c r="H440" s="2" t="str">
        <f>_xlfn.XLOOKUP(D440,Products!$A$2:$A$11,Products!$C$2:$C$11)</f>
        <v>Stationery</v>
      </c>
      <c r="I440" s="3">
        <f>_xlfn.XLOOKUP(D440,Products!$A$2:$A$11,Products!$D$2:$D$11)</f>
        <v>12</v>
      </c>
      <c r="J440" s="3" t="str">
        <f>_xlfn.XLOOKUP(C440,Customers!$A$2:$A$101,Customers!$B$2:$B$101)</f>
        <v>Customer 031</v>
      </c>
      <c r="K440" s="3" t="str">
        <f>_xlfn.XLOOKUP(C440,Customers!$A$2:$A$101,Customers!$C$2:$C$101)</f>
        <v>Birmingham</v>
      </c>
      <c r="L440" s="3" t="str">
        <f>_xlfn.XLOOKUP(C440,Customers!$A$2:$A$101,Customers!$D$2:$D$101)</f>
        <v>Corporate</v>
      </c>
      <c r="M440" s="3">
        <f t="shared" si="13"/>
        <v>32.4</v>
      </c>
      <c r="N440" s="3">
        <f>E440*_xlfn.XLOOKUP(D440,Products!$A$2:$A$11,Products!$E$2:$E$11)</f>
        <v>15</v>
      </c>
      <c r="O440" s="3">
        <f t="shared" si="12"/>
        <v>17.399999999999999</v>
      </c>
    </row>
    <row r="441" spans="1:15" x14ac:dyDescent="0.3">
      <c r="A441" t="s">
        <v>551</v>
      </c>
      <c r="B441" s="1">
        <v>45812</v>
      </c>
      <c r="C441" t="s">
        <v>180</v>
      </c>
      <c r="D441" t="s">
        <v>8</v>
      </c>
      <c r="E441">
        <v>1</v>
      </c>
      <c r="F441" s="2">
        <v>0.1</v>
      </c>
      <c r="G441" s="2" t="str">
        <f>_xlfn.XLOOKUP(D441,Products!$A$2:$A$11,Products!$B$2:$B$11)</f>
        <v>USB-C Hub</v>
      </c>
      <c r="H441" s="2" t="str">
        <f>_xlfn.XLOOKUP(D441,Products!$A$2:$A$11,Products!$C$2:$C$11)</f>
        <v>Electronics</v>
      </c>
      <c r="I441" s="3">
        <f>_xlfn.XLOOKUP(D441,Products!$A$2:$A$11,Products!$D$2:$D$11)</f>
        <v>40</v>
      </c>
      <c r="J441" s="3" t="str">
        <f>_xlfn.XLOOKUP(C441,Customers!$A$2:$A$101,Customers!$B$2:$B$101)</f>
        <v>Customer 075</v>
      </c>
      <c r="K441" s="3" t="str">
        <f>_xlfn.XLOOKUP(C441,Customers!$A$2:$A$101,Customers!$C$2:$C$101)</f>
        <v>Leeds</v>
      </c>
      <c r="L441" s="3" t="str">
        <f>_xlfn.XLOOKUP(C441,Customers!$A$2:$A$101,Customers!$D$2:$D$101)</f>
        <v>Corporate</v>
      </c>
      <c r="M441" s="3">
        <f t="shared" si="13"/>
        <v>36</v>
      </c>
      <c r="N441" s="3">
        <f>E441*_xlfn.XLOOKUP(D441,Products!$A$2:$A$11,Products!$E$2:$E$11)</f>
        <v>19</v>
      </c>
      <c r="O441" s="3">
        <f t="shared" si="12"/>
        <v>17</v>
      </c>
    </row>
    <row r="442" spans="1:15" x14ac:dyDescent="0.3">
      <c r="A442" t="s">
        <v>552</v>
      </c>
      <c r="B442" s="1">
        <v>45992</v>
      </c>
      <c r="C442" t="s">
        <v>323</v>
      </c>
      <c r="D442" t="s">
        <v>22</v>
      </c>
      <c r="E442">
        <v>1</v>
      </c>
      <c r="F442" s="2">
        <v>0</v>
      </c>
      <c r="G442" s="2" t="str">
        <f>_xlfn.XLOOKUP(D442,Products!$A$2:$A$11,Products!$B$2:$B$11)</f>
        <v>Desk Lamp</v>
      </c>
      <c r="H442" s="2" t="str">
        <f>_xlfn.XLOOKUP(D442,Products!$A$2:$A$11,Products!$C$2:$C$11)</f>
        <v>Office</v>
      </c>
      <c r="I442" s="3">
        <f>_xlfn.XLOOKUP(D442,Products!$A$2:$A$11,Products!$D$2:$D$11)</f>
        <v>30</v>
      </c>
      <c r="J442" s="3" t="str">
        <f>_xlfn.XLOOKUP(C442,Customers!$A$2:$A$101,Customers!$B$2:$B$101)</f>
        <v>Customer 047</v>
      </c>
      <c r="K442" s="3" t="str">
        <f>_xlfn.XLOOKUP(C442,Customers!$A$2:$A$101,Customers!$C$2:$C$101)</f>
        <v>Manchester</v>
      </c>
      <c r="L442" s="3" t="str">
        <f>_xlfn.XLOOKUP(C442,Customers!$A$2:$A$101,Customers!$D$2:$D$101)</f>
        <v>Corporate</v>
      </c>
      <c r="M442" s="3">
        <f t="shared" si="13"/>
        <v>30</v>
      </c>
      <c r="N442" s="3">
        <f>E442*_xlfn.XLOOKUP(D442,Products!$A$2:$A$11,Products!$E$2:$E$11)</f>
        <v>15</v>
      </c>
      <c r="O442" s="3">
        <f t="shared" si="12"/>
        <v>15</v>
      </c>
    </row>
    <row r="443" spans="1:15" x14ac:dyDescent="0.3">
      <c r="A443" t="s">
        <v>553</v>
      </c>
      <c r="B443" s="1">
        <v>45896</v>
      </c>
      <c r="C443" t="s">
        <v>361</v>
      </c>
      <c r="D443" t="s">
        <v>46</v>
      </c>
      <c r="E443">
        <v>4</v>
      </c>
      <c r="F443" s="2">
        <v>0.1</v>
      </c>
      <c r="G443" s="2" t="str">
        <f>_xlfn.XLOOKUP(D443,Products!$A$2:$A$11,Products!$B$2:$B$11)</f>
        <v>Keyboard</v>
      </c>
      <c r="H443" s="2" t="str">
        <f>_xlfn.XLOOKUP(D443,Products!$A$2:$A$11,Products!$C$2:$C$11)</f>
        <v>Electronics</v>
      </c>
      <c r="I443" s="3">
        <f>_xlfn.XLOOKUP(D443,Products!$A$2:$A$11,Products!$D$2:$D$11)</f>
        <v>45</v>
      </c>
      <c r="J443" s="3" t="str">
        <f>_xlfn.XLOOKUP(C443,Customers!$A$2:$A$101,Customers!$B$2:$B$101)</f>
        <v>Customer 040</v>
      </c>
      <c r="K443" s="3" t="str">
        <f>_xlfn.XLOOKUP(C443,Customers!$A$2:$A$101,Customers!$C$2:$C$101)</f>
        <v>Sheffield</v>
      </c>
      <c r="L443" s="3" t="str">
        <f>_xlfn.XLOOKUP(C443,Customers!$A$2:$A$101,Customers!$D$2:$D$101)</f>
        <v>Small Business</v>
      </c>
      <c r="M443" s="3">
        <f t="shared" si="13"/>
        <v>162</v>
      </c>
      <c r="N443" s="3">
        <f>E443*_xlfn.XLOOKUP(D443,Products!$A$2:$A$11,Products!$E$2:$E$11)</f>
        <v>88</v>
      </c>
      <c r="O443" s="3">
        <f t="shared" si="12"/>
        <v>74</v>
      </c>
    </row>
    <row r="444" spans="1:15" x14ac:dyDescent="0.3">
      <c r="A444" t="s">
        <v>554</v>
      </c>
      <c r="B444" s="1">
        <v>46011</v>
      </c>
      <c r="C444" t="s">
        <v>121</v>
      </c>
      <c r="D444" t="s">
        <v>60</v>
      </c>
      <c r="E444">
        <v>3</v>
      </c>
      <c r="F444" s="2">
        <v>0.05</v>
      </c>
      <c r="G444" s="2" t="str">
        <f>_xlfn.XLOOKUP(D444,Products!$A$2:$A$11,Products!$B$2:$B$11)</f>
        <v>Water Bottle</v>
      </c>
      <c r="H444" s="2" t="str">
        <f>_xlfn.XLOOKUP(D444,Products!$A$2:$A$11,Products!$C$2:$C$11)</f>
        <v>Lifestyle</v>
      </c>
      <c r="I444" s="3">
        <f>_xlfn.XLOOKUP(D444,Products!$A$2:$A$11,Products!$D$2:$D$11)</f>
        <v>18</v>
      </c>
      <c r="J444" s="3" t="str">
        <f>_xlfn.XLOOKUP(C444,Customers!$A$2:$A$101,Customers!$B$2:$B$101)</f>
        <v>Customer 016</v>
      </c>
      <c r="K444" s="3" t="str">
        <f>_xlfn.XLOOKUP(C444,Customers!$A$2:$A$101,Customers!$C$2:$C$101)</f>
        <v>Leeds</v>
      </c>
      <c r="L444" s="3" t="str">
        <f>_xlfn.XLOOKUP(C444,Customers!$A$2:$A$101,Customers!$D$2:$D$101)</f>
        <v>Consumer</v>
      </c>
      <c r="M444" s="3">
        <f t="shared" si="13"/>
        <v>51.3</v>
      </c>
      <c r="N444" s="3">
        <f>E444*_xlfn.XLOOKUP(D444,Products!$A$2:$A$11,Products!$E$2:$E$11)</f>
        <v>21</v>
      </c>
      <c r="O444" s="3">
        <f t="shared" si="12"/>
        <v>30.299999999999997</v>
      </c>
    </row>
    <row r="445" spans="1:15" x14ac:dyDescent="0.3">
      <c r="A445" t="s">
        <v>555</v>
      </c>
      <c r="B445" s="1">
        <v>45770</v>
      </c>
      <c r="C445" t="s">
        <v>315</v>
      </c>
      <c r="D445" t="s">
        <v>33</v>
      </c>
      <c r="E445">
        <v>2</v>
      </c>
      <c r="F445" s="2">
        <v>0.15</v>
      </c>
      <c r="G445" s="2" t="str">
        <f>_xlfn.XLOOKUP(D445,Products!$A$2:$A$11,Products!$B$2:$B$11)</f>
        <v>Notebook Pack</v>
      </c>
      <c r="H445" s="2" t="str">
        <f>_xlfn.XLOOKUP(D445,Products!$A$2:$A$11,Products!$C$2:$C$11)</f>
        <v>Stationery</v>
      </c>
      <c r="I445" s="3">
        <f>_xlfn.XLOOKUP(D445,Products!$A$2:$A$11,Products!$D$2:$D$11)</f>
        <v>12</v>
      </c>
      <c r="J445" s="3" t="str">
        <f>_xlfn.XLOOKUP(C445,Customers!$A$2:$A$101,Customers!$B$2:$B$101)</f>
        <v>Customer 018</v>
      </c>
      <c r="K445" s="3" t="str">
        <f>_xlfn.XLOOKUP(C445,Customers!$A$2:$A$101,Customers!$C$2:$C$101)</f>
        <v>Birmingham</v>
      </c>
      <c r="L445" s="3" t="str">
        <f>_xlfn.XLOOKUP(C445,Customers!$A$2:$A$101,Customers!$D$2:$D$101)</f>
        <v>Consumer</v>
      </c>
      <c r="M445" s="3">
        <f t="shared" si="13"/>
        <v>20.399999999999999</v>
      </c>
      <c r="N445" s="3">
        <f>E445*_xlfn.XLOOKUP(D445,Products!$A$2:$A$11,Products!$E$2:$E$11)</f>
        <v>10</v>
      </c>
      <c r="O445" s="3">
        <f t="shared" si="12"/>
        <v>10.399999999999999</v>
      </c>
    </row>
    <row r="446" spans="1:15" x14ac:dyDescent="0.3">
      <c r="A446" t="s">
        <v>556</v>
      </c>
      <c r="B446" s="1">
        <v>45968</v>
      </c>
      <c r="C446" t="s">
        <v>186</v>
      </c>
      <c r="D446" t="s">
        <v>16</v>
      </c>
      <c r="E446">
        <v>5</v>
      </c>
      <c r="F446" s="2">
        <v>0.15</v>
      </c>
      <c r="G446" s="2" t="str">
        <f>_xlfn.XLOOKUP(D446,Products!$A$2:$A$11,Products!$B$2:$B$11)</f>
        <v>Headphones</v>
      </c>
      <c r="H446" s="2" t="str">
        <f>_xlfn.XLOOKUP(D446,Products!$A$2:$A$11,Products!$C$2:$C$11)</f>
        <v>Electronics</v>
      </c>
      <c r="I446" s="3">
        <f>_xlfn.XLOOKUP(D446,Products!$A$2:$A$11,Products!$D$2:$D$11)</f>
        <v>75</v>
      </c>
      <c r="J446" s="3" t="str">
        <f>_xlfn.XLOOKUP(C446,Customers!$A$2:$A$101,Customers!$B$2:$B$101)</f>
        <v>Customer 048</v>
      </c>
      <c r="K446" s="3" t="str">
        <f>_xlfn.XLOOKUP(C446,Customers!$A$2:$A$101,Customers!$C$2:$C$101)</f>
        <v>Sheffield</v>
      </c>
      <c r="L446" s="3" t="str">
        <f>_xlfn.XLOOKUP(C446,Customers!$A$2:$A$101,Customers!$D$2:$D$101)</f>
        <v>Consumer</v>
      </c>
      <c r="M446" s="3">
        <f t="shared" si="13"/>
        <v>318.75</v>
      </c>
      <c r="N446" s="3">
        <f>E446*_xlfn.XLOOKUP(D446,Products!$A$2:$A$11,Products!$E$2:$E$11)</f>
        <v>200</v>
      </c>
      <c r="O446" s="3">
        <f t="shared" si="12"/>
        <v>118.75</v>
      </c>
    </row>
    <row r="447" spans="1:15" x14ac:dyDescent="0.3">
      <c r="A447" t="s">
        <v>557</v>
      </c>
      <c r="B447" s="1">
        <v>45933</v>
      </c>
      <c r="C447" t="s">
        <v>32</v>
      </c>
      <c r="D447" t="s">
        <v>22</v>
      </c>
      <c r="E447">
        <v>2</v>
      </c>
      <c r="F447" s="2">
        <v>0</v>
      </c>
      <c r="G447" s="2" t="str">
        <f>_xlfn.XLOOKUP(D447,Products!$A$2:$A$11,Products!$B$2:$B$11)</f>
        <v>Desk Lamp</v>
      </c>
      <c r="H447" s="2" t="str">
        <f>_xlfn.XLOOKUP(D447,Products!$A$2:$A$11,Products!$C$2:$C$11)</f>
        <v>Office</v>
      </c>
      <c r="I447" s="3">
        <f>_xlfn.XLOOKUP(D447,Products!$A$2:$A$11,Products!$D$2:$D$11)</f>
        <v>30</v>
      </c>
      <c r="J447" s="3" t="str">
        <f>_xlfn.XLOOKUP(C447,Customers!$A$2:$A$101,Customers!$B$2:$B$101)</f>
        <v>Customer 086</v>
      </c>
      <c r="K447" s="3" t="str">
        <f>_xlfn.XLOOKUP(C447,Customers!$A$2:$A$101,Customers!$C$2:$C$101)</f>
        <v>Manchester</v>
      </c>
      <c r="L447" s="3" t="str">
        <f>_xlfn.XLOOKUP(C447,Customers!$A$2:$A$101,Customers!$D$2:$D$101)</f>
        <v>Small Business</v>
      </c>
      <c r="M447" s="3">
        <f t="shared" si="13"/>
        <v>60</v>
      </c>
      <c r="N447" s="3">
        <f>E447*_xlfn.XLOOKUP(D447,Products!$A$2:$A$11,Products!$E$2:$E$11)</f>
        <v>30</v>
      </c>
      <c r="O447" s="3">
        <f t="shared" si="12"/>
        <v>30</v>
      </c>
    </row>
    <row r="448" spans="1:15" x14ac:dyDescent="0.3">
      <c r="A448" t="s">
        <v>558</v>
      </c>
      <c r="B448" s="1">
        <v>45927</v>
      </c>
      <c r="C448" t="s">
        <v>45</v>
      </c>
      <c r="D448" t="s">
        <v>11</v>
      </c>
      <c r="E448">
        <v>3</v>
      </c>
      <c r="F448" s="2">
        <v>0</v>
      </c>
      <c r="G448" s="2" t="str">
        <f>_xlfn.XLOOKUP(D448,Products!$A$2:$A$11,Products!$B$2:$B$11)</f>
        <v>Office Chair</v>
      </c>
      <c r="H448" s="2" t="str">
        <f>_xlfn.XLOOKUP(D448,Products!$A$2:$A$11,Products!$C$2:$C$11)</f>
        <v>Office</v>
      </c>
      <c r="I448" s="3">
        <f>_xlfn.XLOOKUP(D448,Products!$A$2:$A$11,Products!$D$2:$D$11)</f>
        <v>180</v>
      </c>
      <c r="J448" s="3" t="str">
        <f>_xlfn.XLOOKUP(C448,Customers!$A$2:$A$101,Customers!$B$2:$B$101)</f>
        <v>Customer 058</v>
      </c>
      <c r="K448" s="3" t="str">
        <f>_xlfn.XLOOKUP(C448,Customers!$A$2:$A$101,Customers!$C$2:$C$101)</f>
        <v>Bristol</v>
      </c>
      <c r="L448" s="3" t="str">
        <f>_xlfn.XLOOKUP(C448,Customers!$A$2:$A$101,Customers!$D$2:$D$101)</f>
        <v>Corporate</v>
      </c>
      <c r="M448" s="3">
        <f t="shared" si="13"/>
        <v>540</v>
      </c>
      <c r="N448" s="3">
        <f>E448*_xlfn.XLOOKUP(D448,Products!$A$2:$A$11,Products!$E$2:$E$11)</f>
        <v>315</v>
      </c>
      <c r="O448" s="3">
        <f t="shared" si="12"/>
        <v>225</v>
      </c>
    </row>
    <row r="449" spans="1:15" x14ac:dyDescent="0.3">
      <c r="A449" t="s">
        <v>559</v>
      </c>
      <c r="B449" s="1">
        <v>45946</v>
      </c>
      <c r="C449" t="s">
        <v>113</v>
      </c>
      <c r="D449" t="s">
        <v>27</v>
      </c>
      <c r="E449">
        <v>5</v>
      </c>
      <c r="F449" s="2">
        <v>0.05</v>
      </c>
      <c r="G449" s="2" t="str">
        <f>_xlfn.XLOOKUP(D449,Products!$A$2:$A$11,Products!$B$2:$B$11)</f>
        <v>Laptop Stand</v>
      </c>
      <c r="H449" s="2" t="str">
        <f>_xlfn.XLOOKUP(D449,Products!$A$2:$A$11,Products!$C$2:$C$11)</f>
        <v>Office</v>
      </c>
      <c r="I449" s="3">
        <f>_xlfn.XLOOKUP(D449,Products!$A$2:$A$11,Products!$D$2:$D$11)</f>
        <v>35</v>
      </c>
      <c r="J449" s="3" t="str">
        <f>_xlfn.XLOOKUP(C449,Customers!$A$2:$A$101,Customers!$B$2:$B$101)</f>
        <v>Customer 015</v>
      </c>
      <c r="K449" s="3" t="str">
        <f>_xlfn.XLOOKUP(C449,Customers!$A$2:$A$101,Customers!$C$2:$C$101)</f>
        <v>Sheffield</v>
      </c>
      <c r="L449" s="3" t="str">
        <f>_xlfn.XLOOKUP(C449,Customers!$A$2:$A$101,Customers!$D$2:$D$101)</f>
        <v>Corporate</v>
      </c>
      <c r="M449" s="3">
        <f t="shared" si="13"/>
        <v>166.25</v>
      </c>
      <c r="N449" s="3">
        <f>E449*_xlfn.XLOOKUP(D449,Products!$A$2:$A$11,Products!$E$2:$E$11)</f>
        <v>100</v>
      </c>
      <c r="O449" s="3">
        <f t="shared" si="12"/>
        <v>66.25</v>
      </c>
    </row>
    <row r="450" spans="1:15" x14ac:dyDescent="0.3">
      <c r="A450" t="s">
        <v>560</v>
      </c>
      <c r="B450" s="1">
        <v>45951</v>
      </c>
      <c r="C450" t="s">
        <v>78</v>
      </c>
      <c r="D450" t="s">
        <v>46</v>
      </c>
      <c r="E450">
        <v>2</v>
      </c>
      <c r="F450" s="2">
        <v>0.1</v>
      </c>
      <c r="G450" s="2" t="str">
        <f>_xlfn.XLOOKUP(D450,Products!$A$2:$A$11,Products!$B$2:$B$11)</f>
        <v>Keyboard</v>
      </c>
      <c r="H450" s="2" t="str">
        <f>_xlfn.XLOOKUP(D450,Products!$A$2:$A$11,Products!$C$2:$C$11)</f>
        <v>Electronics</v>
      </c>
      <c r="I450" s="3">
        <f>_xlfn.XLOOKUP(D450,Products!$A$2:$A$11,Products!$D$2:$D$11)</f>
        <v>45</v>
      </c>
      <c r="J450" s="3" t="str">
        <f>_xlfn.XLOOKUP(C450,Customers!$A$2:$A$101,Customers!$B$2:$B$101)</f>
        <v>Customer 069</v>
      </c>
      <c r="K450" s="3" t="str">
        <f>_xlfn.XLOOKUP(C450,Customers!$A$2:$A$101,Customers!$C$2:$C$101)</f>
        <v>Birmingham</v>
      </c>
      <c r="L450" s="3" t="str">
        <f>_xlfn.XLOOKUP(C450,Customers!$A$2:$A$101,Customers!$D$2:$D$101)</f>
        <v>Consumer</v>
      </c>
      <c r="M450" s="3">
        <f t="shared" si="13"/>
        <v>81</v>
      </c>
      <c r="N450" s="3">
        <f>E450*_xlfn.XLOOKUP(D450,Products!$A$2:$A$11,Products!$E$2:$E$11)</f>
        <v>44</v>
      </c>
      <c r="O450" s="3">
        <f t="shared" si="12"/>
        <v>37</v>
      </c>
    </row>
    <row r="451" spans="1:15" x14ac:dyDescent="0.3">
      <c r="A451" t="s">
        <v>561</v>
      </c>
      <c r="B451" s="1">
        <v>45924</v>
      </c>
      <c r="C451" t="s">
        <v>130</v>
      </c>
      <c r="D451" t="s">
        <v>30</v>
      </c>
      <c r="E451">
        <v>2</v>
      </c>
      <c r="F451" s="2">
        <v>0.15</v>
      </c>
      <c r="G451" s="2" t="str">
        <f>_xlfn.XLOOKUP(D451,Products!$A$2:$A$11,Products!$B$2:$B$11)</f>
        <v>Wireless Mouse</v>
      </c>
      <c r="H451" s="2" t="str">
        <f>_xlfn.XLOOKUP(D451,Products!$A$2:$A$11,Products!$C$2:$C$11)</f>
        <v>Electronics</v>
      </c>
      <c r="I451" s="3">
        <f>_xlfn.XLOOKUP(D451,Products!$A$2:$A$11,Products!$D$2:$D$11)</f>
        <v>25</v>
      </c>
      <c r="J451" s="3" t="str">
        <f>_xlfn.XLOOKUP(C451,Customers!$A$2:$A$101,Customers!$B$2:$B$101)</f>
        <v>Customer 057</v>
      </c>
      <c r="K451" s="3" t="str">
        <f>_xlfn.XLOOKUP(C451,Customers!$A$2:$A$101,Customers!$C$2:$C$101)</f>
        <v>London</v>
      </c>
      <c r="L451" s="3" t="str">
        <f>_xlfn.XLOOKUP(C451,Customers!$A$2:$A$101,Customers!$D$2:$D$101)</f>
        <v>Consumer</v>
      </c>
      <c r="M451" s="3">
        <f t="shared" si="13"/>
        <v>42.5</v>
      </c>
      <c r="N451" s="3">
        <f>E451*_xlfn.XLOOKUP(D451,Products!$A$2:$A$11,Products!$E$2:$E$11)</f>
        <v>24</v>
      </c>
      <c r="O451" s="3">
        <f t="shared" ref="O451:O502" si="14">M451-N451</f>
        <v>18.5</v>
      </c>
    </row>
    <row r="452" spans="1:15" x14ac:dyDescent="0.3">
      <c r="A452" t="s">
        <v>562</v>
      </c>
      <c r="B452" s="1">
        <v>45704</v>
      </c>
      <c r="C452" t="s">
        <v>66</v>
      </c>
      <c r="D452" t="s">
        <v>33</v>
      </c>
      <c r="E452">
        <v>1</v>
      </c>
      <c r="F452" s="2">
        <v>0.15</v>
      </c>
      <c r="G452" s="2" t="str">
        <f>_xlfn.XLOOKUP(D452,Products!$A$2:$A$11,Products!$B$2:$B$11)</f>
        <v>Notebook Pack</v>
      </c>
      <c r="H452" s="2" t="str">
        <f>_xlfn.XLOOKUP(D452,Products!$A$2:$A$11,Products!$C$2:$C$11)</f>
        <v>Stationery</v>
      </c>
      <c r="I452" s="3">
        <f>_xlfn.XLOOKUP(D452,Products!$A$2:$A$11,Products!$D$2:$D$11)</f>
        <v>12</v>
      </c>
      <c r="J452" s="3" t="str">
        <f>_xlfn.XLOOKUP(C452,Customers!$A$2:$A$101,Customers!$B$2:$B$101)</f>
        <v>Customer 066</v>
      </c>
      <c r="K452" s="3" t="str">
        <f>_xlfn.XLOOKUP(C452,Customers!$A$2:$A$101,Customers!$C$2:$C$101)</f>
        <v>Birmingham</v>
      </c>
      <c r="L452" s="3" t="str">
        <f>_xlfn.XLOOKUP(C452,Customers!$A$2:$A$101,Customers!$D$2:$D$101)</f>
        <v>Corporate</v>
      </c>
      <c r="M452" s="3">
        <f t="shared" ref="M452:M501" si="15">E452*I452*(1-F452)</f>
        <v>10.199999999999999</v>
      </c>
      <c r="N452" s="3">
        <f>E452*_xlfn.XLOOKUP(D452,Products!$A$2:$A$11,Products!$E$2:$E$11)</f>
        <v>5</v>
      </c>
      <c r="O452" s="3">
        <f t="shared" si="14"/>
        <v>5.1999999999999993</v>
      </c>
    </row>
    <row r="453" spans="1:15" x14ac:dyDescent="0.3">
      <c r="A453" t="s">
        <v>563</v>
      </c>
      <c r="B453" s="1">
        <v>45725</v>
      </c>
      <c r="C453" t="s">
        <v>66</v>
      </c>
      <c r="D453" t="s">
        <v>16</v>
      </c>
      <c r="E453">
        <v>4</v>
      </c>
      <c r="F453" s="2">
        <v>0</v>
      </c>
      <c r="G453" s="2" t="str">
        <f>_xlfn.XLOOKUP(D453,Products!$A$2:$A$11,Products!$B$2:$B$11)</f>
        <v>Headphones</v>
      </c>
      <c r="H453" s="2" t="str">
        <f>_xlfn.XLOOKUP(D453,Products!$A$2:$A$11,Products!$C$2:$C$11)</f>
        <v>Electronics</v>
      </c>
      <c r="I453" s="3">
        <f>_xlfn.XLOOKUP(D453,Products!$A$2:$A$11,Products!$D$2:$D$11)</f>
        <v>75</v>
      </c>
      <c r="J453" s="3" t="str">
        <f>_xlfn.XLOOKUP(C453,Customers!$A$2:$A$101,Customers!$B$2:$B$101)</f>
        <v>Customer 066</v>
      </c>
      <c r="K453" s="3" t="str">
        <f>_xlfn.XLOOKUP(C453,Customers!$A$2:$A$101,Customers!$C$2:$C$101)</f>
        <v>Birmingham</v>
      </c>
      <c r="L453" s="3" t="str">
        <f>_xlfn.XLOOKUP(C453,Customers!$A$2:$A$101,Customers!$D$2:$D$101)</f>
        <v>Corporate</v>
      </c>
      <c r="M453" s="3">
        <f t="shared" si="15"/>
        <v>300</v>
      </c>
      <c r="N453" s="3">
        <f>E453*_xlfn.XLOOKUP(D453,Products!$A$2:$A$11,Products!$E$2:$E$11)</f>
        <v>160</v>
      </c>
      <c r="O453" s="3">
        <f t="shared" si="14"/>
        <v>140</v>
      </c>
    </row>
    <row r="454" spans="1:15" x14ac:dyDescent="0.3">
      <c r="A454" t="s">
        <v>564</v>
      </c>
      <c r="B454" s="1">
        <v>45944</v>
      </c>
      <c r="C454" t="s">
        <v>48</v>
      </c>
      <c r="D454" t="s">
        <v>60</v>
      </c>
      <c r="E454">
        <v>1</v>
      </c>
      <c r="F454" s="2">
        <v>0.15</v>
      </c>
      <c r="G454" s="2" t="str">
        <f>_xlfn.XLOOKUP(D454,Products!$A$2:$A$11,Products!$B$2:$B$11)</f>
        <v>Water Bottle</v>
      </c>
      <c r="H454" s="2" t="str">
        <f>_xlfn.XLOOKUP(D454,Products!$A$2:$A$11,Products!$C$2:$C$11)</f>
        <v>Lifestyle</v>
      </c>
      <c r="I454" s="3">
        <f>_xlfn.XLOOKUP(D454,Products!$A$2:$A$11,Products!$D$2:$D$11)</f>
        <v>18</v>
      </c>
      <c r="J454" s="3" t="str">
        <f>_xlfn.XLOOKUP(C454,Customers!$A$2:$A$101,Customers!$B$2:$B$101)</f>
        <v>Customer 060</v>
      </c>
      <c r="K454" s="3" t="str">
        <f>_xlfn.XLOOKUP(C454,Customers!$A$2:$A$101,Customers!$C$2:$C$101)</f>
        <v>Sheffield</v>
      </c>
      <c r="L454" s="3" t="str">
        <f>_xlfn.XLOOKUP(C454,Customers!$A$2:$A$101,Customers!$D$2:$D$101)</f>
        <v>Small Business</v>
      </c>
      <c r="M454" s="3">
        <f t="shared" si="15"/>
        <v>15.299999999999999</v>
      </c>
      <c r="N454" s="3">
        <f>E454*_xlfn.XLOOKUP(D454,Products!$A$2:$A$11,Products!$E$2:$E$11)</f>
        <v>7</v>
      </c>
      <c r="O454" s="3">
        <f t="shared" si="14"/>
        <v>8.2999999999999989</v>
      </c>
    </row>
    <row r="455" spans="1:15" x14ac:dyDescent="0.3">
      <c r="A455" t="s">
        <v>565</v>
      </c>
      <c r="B455" s="1">
        <v>45788</v>
      </c>
      <c r="C455" t="s">
        <v>92</v>
      </c>
      <c r="D455" t="s">
        <v>22</v>
      </c>
      <c r="E455">
        <v>5</v>
      </c>
      <c r="F455" s="2">
        <v>0</v>
      </c>
      <c r="G455" s="2" t="str">
        <f>_xlfn.XLOOKUP(D455,Products!$A$2:$A$11,Products!$B$2:$B$11)</f>
        <v>Desk Lamp</v>
      </c>
      <c r="H455" s="2" t="str">
        <f>_xlfn.XLOOKUP(D455,Products!$A$2:$A$11,Products!$C$2:$C$11)</f>
        <v>Office</v>
      </c>
      <c r="I455" s="3">
        <f>_xlfn.XLOOKUP(D455,Products!$A$2:$A$11,Products!$D$2:$D$11)</f>
        <v>30</v>
      </c>
      <c r="J455" s="3" t="str">
        <f>_xlfn.XLOOKUP(C455,Customers!$A$2:$A$101,Customers!$B$2:$B$101)</f>
        <v>Customer 001</v>
      </c>
      <c r="K455" s="3" t="str">
        <f>_xlfn.XLOOKUP(C455,Customers!$A$2:$A$101,Customers!$C$2:$C$101)</f>
        <v>Sheffield</v>
      </c>
      <c r="L455" s="3" t="str">
        <f>_xlfn.XLOOKUP(C455,Customers!$A$2:$A$101,Customers!$D$2:$D$101)</f>
        <v>Consumer</v>
      </c>
      <c r="M455" s="3">
        <f t="shared" si="15"/>
        <v>150</v>
      </c>
      <c r="N455" s="3">
        <f>E455*_xlfn.XLOOKUP(D455,Products!$A$2:$A$11,Products!$E$2:$E$11)</f>
        <v>75</v>
      </c>
      <c r="O455" s="3">
        <f t="shared" si="14"/>
        <v>75</v>
      </c>
    </row>
    <row r="456" spans="1:15" x14ac:dyDescent="0.3">
      <c r="A456" t="s">
        <v>566</v>
      </c>
      <c r="B456" s="1">
        <v>45681</v>
      </c>
      <c r="C456" t="s">
        <v>39</v>
      </c>
      <c r="D456" t="s">
        <v>19</v>
      </c>
      <c r="E456">
        <v>1</v>
      </c>
      <c r="F456" s="2">
        <v>0</v>
      </c>
      <c r="G456" s="2" t="str">
        <f>_xlfn.XLOOKUP(D456,Products!$A$2:$A$11,Products!$B$2:$B$11)</f>
        <v>Backpack</v>
      </c>
      <c r="H456" s="2" t="str">
        <f>_xlfn.XLOOKUP(D456,Products!$A$2:$A$11,Products!$C$2:$C$11)</f>
        <v>Lifestyle</v>
      </c>
      <c r="I456" s="3">
        <f>_xlfn.XLOOKUP(D456,Products!$A$2:$A$11,Products!$D$2:$D$11)</f>
        <v>55</v>
      </c>
      <c r="J456" s="3" t="str">
        <f>_xlfn.XLOOKUP(C456,Customers!$A$2:$A$101,Customers!$B$2:$B$101)</f>
        <v>Customer 055</v>
      </c>
      <c r="K456" s="3" t="str">
        <f>_xlfn.XLOOKUP(C456,Customers!$A$2:$A$101,Customers!$C$2:$C$101)</f>
        <v>London</v>
      </c>
      <c r="L456" s="3" t="str">
        <f>_xlfn.XLOOKUP(C456,Customers!$A$2:$A$101,Customers!$D$2:$D$101)</f>
        <v>Small Business</v>
      </c>
      <c r="M456" s="3">
        <f t="shared" si="15"/>
        <v>55</v>
      </c>
      <c r="N456" s="3">
        <f>E456*_xlfn.XLOOKUP(D456,Products!$A$2:$A$11,Products!$E$2:$E$11)</f>
        <v>27</v>
      </c>
      <c r="O456" s="3">
        <f t="shared" si="14"/>
        <v>28</v>
      </c>
    </row>
    <row r="457" spans="1:15" x14ac:dyDescent="0.3">
      <c r="A457" t="s">
        <v>567</v>
      </c>
      <c r="B457" s="1">
        <v>45693</v>
      </c>
      <c r="C457" t="s">
        <v>13</v>
      </c>
      <c r="D457" t="s">
        <v>27</v>
      </c>
      <c r="E457">
        <v>3</v>
      </c>
      <c r="F457" s="2">
        <v>0.15</v>
      </c>
      <c r="G457" s="2" t="str">
        <f>_xlfn.XLOOKUP(D457,Products!$A$2:$A$11,Products!$B$2:$B$11)</f>
        <v>Laptop Stand</v>
      </c>
      <c r="H457" s="2" t="str">
        <f>_xlfn.XLOOKUP(D457,Products!$A$2:$A$11,Products!$C$2:$C$11)</f>
        <v>Office</v>
      </c>
      <c r="I457" s="3">
        <f>_xlfn.XLOOKUP(D457,Products!$A$2:$A$11,Products!$D$2:$D$11)</f>
        <v>35</v>
      </c>
      <c r="J457" s="3" t="str">
        <f>_xlfn.XLOOKUP(C457,Customers!$A$2:$A$101,Customers!$B$2:$B$101)</f>
        <v>Customer 061</v>
      </c>
      <c r="K457" s="3" t="str">
        <f>_xlfn.XLOOKUP(C457,Customers!$A$2:$A$101,Customers!$C$2:$C$101)</f>
        <v>Leeds</v>
      </c>
      <c r="L457" s="3" t="str">
        <f>_xlfn.XLOOKUP(C457,Customers!$A$2:$A$101,Customers!$D$2:$D$101)</f>
        <v>Corporate</v>
      </c>
      <c r="M457" s="3">
        <f t="shared" si="15"/>
        <v>89.25</v>
      </c>
      <c r="N457" s="3">
        <f>E457*_xlfn.XLOOKUP(D457,Products!$A$2:$A$11,Products!$E$2:$E$11)</f>
        <v>60</v>
      </c>
      <c r="O457" s="3">
        <f t="shared" si="14"/>
        <v>29.25</v>
      </c>
    </row>
    <row r="458" spans="1:15" x14ac:dyDescent="0.3">
      <c r="A458" t="s">
        <v>568</v>
      </c>
      <c r="B458" s="1">
        <v>45750</v>
      </c>
      <c r="C458" t="s">
        <v>486</v>
      </c>
      <c r="D458" t="s">
        <v>46</v>
      </c>
      <c r="E458">
        <v>4</v>
      </c>
      <c r="F458" s="2">
        <v>0.1</v>
      </c>
      <c r="G458" s="2" t="str">
        <f>_xlfn.XLOOKUP(D458,Products!$A$2:$A$11,Products!$B$2:$B$11)</f>
        <v>Keyboard</v>
      </c>
      <c r="H458" s="2" t="str">
        <f>_xlfn.XLOOKUP(D458,Products!$A$2:$A$11,Products!$C$2:$C$11)</f>
        <v>Electronics</v>
      </c>
      <c r="I458" s="3">
        <f>_xlfn.XLOOKUP(D458,Products!$A$2:$A$11,Products!$D$2:$D$11)</f>
        <v>45</v>
      </c>
      <c r="J458" s="3" t="str">
        <f>_xlfn.XLOOKUP(C458,Customers!$A$2:$A$101,Customers!$B$2:$B$101)</f>
        <v>Customer 099</v>
      </c>
      <c r="K458" s="3" t="str">
        <f>_xlfn.XLOOKUP(C458,Customers!$A$2:$A$101,Customers!$C$2:$C$101)</f>
        <v>London</v>
      </c>
      <c r="L458" s="3" t="str">
        <f>_xlfn.XLOOKUP(C458,Customers!$A$2:$A$101,Customers!$D$2:$D$101)</f>
        <v>Small Business</v>
      </c>
      <c r="M458" s="3">
        <f t="shared" si="15"/>
        <v>162</v>
      </c>
      <c r="N458" s="3">
        <f>E458*_xlfn.XLOOKUP(D458,Products!$A$2:$A$11,Products!$E$2:$E$11)</f>
        <v>88</v>
      </c>
      <c r="O458" s="3">
        <f t="shared" si="14"/>
        <v>74</v>
      </c>
    </row>
    <row r="459" spans="1:15" x14ac:dyDescent="0.3">
      <c r="A459" t="s">
        <v>569</v>
      </c>
      <c r="B459" s="1">
        <v>45853</v>
      </c>
      <c r="C459" t="s">
        <v>45</v>
      </c>
      <c r="D459" t="s">
        <v>16</v>
      </c>
      <c r="E459">
        <v>4</v>
      </c>
      <c r="F459" s="2">
        <v>0</v>
      </c>
      <c r="G459" s="2" t="str">
        <f>_xlfn.XLOOKUP(D459,Products!$A$2:$A$11,Products!$B$2:$B$11)</f>
        <v>Headphones</v>
      </c>
      <c r="H459" s="2" t="str">
        <f>_xlfn.XLOOKUP(D459,Products!$A$2:$A$11,Products!$C$2:$C$11)</f>
        <v>Electronics</v>
      </c>
      <c r="I459" s="3">
        <f>_xlfn.XLOOKUP(D459,Products!$A$2:$A$11,Products!$D$2:$D$11)</f>
        <v>75</v>
      </c>
      <c r="J459" s="3" t="str">
        <f>_xlfn.XLOOKUP(C459,Customers!$A$2:$A$101,Customers!$B$2:$B$101)</f>
        <v>Customer 058</v>
      </c>
      <c r="K459" s="3" t="str">
        <f>_xlfn.XLOOKUP(C459,Customers!$A$2:$A$101,Customers!$C$2:$C$101)</f>
        <v>Bristol</v>
      </c>
      <c r="L459" s="3" t="str">
        <f>_xlfn.XLOOKUP(C459,Customers!$A$2:$A$101,Customers!$D$2:$D$101)</f>
        <v>Corporate</v>
      </c>
      <c r="M459" s="3">
        <f t="shared" si="15"/>
        <v>300</v>
      </c>
      <c r="N459" s="3">
        <f>E459*_xlfn.XLOOKUP(D459,Products!$A$2:$A$11,Products!$E$2:$E$11)</f>
        <v>160</v>
      </c>
      <c r="O459" s="3">
        <f t="shared" si="14"/>
        <v>140</v>
      </c>
    </row>
    <row r="460" spans="1:15" x14ac:dyDescent="0.3">
      <c r="A460" t="s">
        <v>570</v>
      </c>
      <c r="B460" s="1">
        <v>46007</v>
      </c>
      <c r="C460" t="s">
        <v>132</v>
      </c>
      <c r="D460" t="s">
        <v>11</v>
      </c>
      <c r="E460">
        <v>2</v>
      </c>
      <c r="F460" s="2">
        <v>0.1</v>
      </c>
      <c r="G460" s="2" t="str">
        <f>_xlfn.XLOOKUP(D460,Products!$A$2:$A$11,Products!$B$2:$B$11)</f>
        <v>Office Chair</v>
      </c>
      <c r="H460" s="2" t="str">
        <f>_xlfn.XLOOKUP(D460,Products!$A$2:$A$11,Products!$C$2:$C$11)</f>
        <v>Office</v>
      </c>
      <c r="I460" s="3">
        <f>_xlfn.XLOOKUP(D460,Products!$A$2:$A$11,Products!$D$2:$D$11)</f>
        <v>180</v>
      </c>
      <c r="J460" s="3" t="str">
        <f>_xlfn.XLOOKUP(C460,Customers!$A$2:$A$101,Customers!$B$2:$B$101)</f>
        <v>Customer 085</v>
      </c>
      <c r="K460" s="3" t="str">
        <f>_xlfn.XLOOKUP(C460,Customers!$A$2:$A$101,Customers!$C$2:$C$101)</f>
        <v>Birmingham</v>
      </c>
      <c r="L460" s="3" t="str">
        <f>_xlfn.XLOOKUP(C460,Customers!$A$2:$A$101,Customers!$D$2:$D$101)</f>
        <v>Small Business</v>
      </c>
      <c r="M460" s="3">
        <f t="shared" si="15"/>
        <v>324</v>
      </c>
      <c r="N460" s="3">
        <f>E460*_xlfn.XLOOKUP(D460,Products!$A$2:$A$11,Products!$E$2:$E$11)</f>
        <v>210</v>
      </c>
      <c r="O460" s="3">
        <f t="shared" si="14"/>
        <v>114</v>
      </c>
    </row>
    <row r="461" spans="1:15" x14ac:dyDescent="0.3">
      <c r="A461" t="s">
        <v>571</v>
      </c>
      <c r="B461" s="1">
        <v>45718</v>
      </c>
      <c r="C461" t="s">
        <v>442</v>
      </c>
      <c r="D461" t="s">
        <v>11</v>
      </c>
      <c r="E461">
        <v>4</v>
      </c>
      <c r="F461" s="2">
        <v>0.05</v>
      </c>
      <c r="G461" s="2" t="str">
        <f>_xlfn.XLOOKUP(D461,Products!$A$2:$A$11,Products!$B$2:$B$11)</f>
        <v>Office Chair</v>
      </c>
      <c r="H461" s="2" t="str">
        <f>_xlfn.XLOOKUP(D461,Products!$A$2:$A$11,Products!$C$2:$C$11)</f>
        <v>Office</v>
      </c>
      <c r="I461" s="3">
        <f>_xlfn.XLOOKUP(D461,Products!$A$2:$A$11,Products!$D$2:$D$11)</f>
        <v>180</v>
      </c>
      <c r="J461" s="3" t="str">
        <f>_xlfn.XLOOKUP(C461,Customers!$A$2:$A$101,Customers!$B$2:$B$101)</f>
        <v>Customer 023</v>
      </c>
      <c r="K461" s="3" t="str">
        <f>_xlfn.XLOOKUP(C461,Customers!$A$2:$A$101,Customers!$C$2:$C$101)</f>
        <v>London</v>
      </c>
      <c r="L461" s="3" t="str">
        <f>_xlfn.XLOOKUP(C461,Customers!$A$2:$A$101,Customers!$D$2:$D$101)</f>
        <v>Consumer</v>
      </c>
      <c r="M461" s="3">
        <f t="shared" si="15"/>
        <v>684</v>
      </c>
      <c r="N461" s="3">
        <f>E461*_xlfn.XLOOKUP(D461,Products!$A$2:$A$11,Products!$E$2:$E$11)</f>
        <v>420</v>
      </c>
      <c r="O461" s="3">
        <f t="shared" si="14"/>
        <v>264</v>
      </c>
    </row>
    <row r="462" spans="1:15" x14ac:dyDescent="0.3">
      <c r="A462" t="s">
        <v>572</v>
      </c>
      <c r="B462" s="1">
        <v>45772</v>
      </c>
      <c r="C462" t="s">
        <v>92</v>
      </c>
      <c r="D462" t="s">
        <v>27</v>
      </c>
      <c r="E462">
        <v>3</v>
      </c>
      <c r="F462" s="2">
        <v>0.15</v>
      </c>
      <c r="G462" s="2" t="str">
        <f>_xlfn.XLOOKUP(D462,Products!$A$2:$A$11,Products!$B$2:$B$11)</f>
        <v>Laptop Stand</v>
      </c>
      <c r="H462" s="2" t="str">
        <f>_xlfn.XLOOKUP(D462,Products!$A$2:$A$11,Products!$C$2:$C$11)</f>
        <v>Office</v>
      </c>
      <c r="I462" s="3">
        <f>_xlfn.XLOOKUP(D462,Products!$A$2:$A$11,Products!$D$2:$D$11)</f>
        <v>35</v>
      </c>
      <c r="J462" s="3" t="str">
        <f>_xlfn.XLOOKUP(C462,Customers!$A$2:$A$101,Customers!$B$2:$B$101)</f>
        <v>Customer 001</v>
      </c>
      <c r="K462" s="3" t="str">
        <f>_xlfn.XLOOKUP(C462,Customers!$A$2:$A$101,Customers!$C$2:$C$101)</f>
        <v>Sheffield</v>
      </c>
      <c r="L462" s="3" t="str">
        <f>_xlfn.XLOOKUP(C462,Customers!$A$2:$A$101,Customers!$D$2:$D$101)</f>
        <v>Consumer</v>
      </c>
      <c r="M462" s="3">
        <f t="shared" si="15"/>
        <v>89.25</v>
      </c>
      <c r="N462" s="3">
        <f>E462*_xlfn.XLOOKUP(D462,Products!$A$2:$A$11,Products!$E$2:$E$11)</f>
        <v>60</v>
      </c>
      <c r="O462" s="3">
        <f t="shared" si="14"/>
        <v>29.25</v>
      </c>
    </row>
    <row r="463" spans="1:15" x14ac:dyDescent="0.3">
      <c r="A463" t="s">
        <v>573</v>
      </c>
      <c r="B463" s="1">
        <v>46002</v>
      </c>
      <c r="C463" t="s">
        <v>276</v>
      </c>
      <c r="D463" t="s">
        <v>11</v>
      </c>
      <c r="E463">
        <v>4</v>
      </c>
      <c r="F463" s="2">
        <v>0.15</v>
      </c>
      <c r="G463" s="2" t="str">
        <f>_xlfn.XLOOKUP(D463,Products!$A$2:$A$11,Products!$B$2:$B$11)</f>
        <v>Office Chair</v>
      </c>
      <c r="H463" s="2" t="str">
        <f>_xlfn.XLOOKUP(D463,Products!$A$2:$A$11,Products!$C$2:$C$11)</f>
        <v>Office</v>
      </c>
      <c r="I463" s="3">
        <f>_xlfn.XLOOKUP(D463,Products!$A$2:$A$11,Products!$D$2:$D$11)</f>
        <v>180</v>
      </c>
      <c r="J463" s="3" t="str">
        <f>_xlfn.XLOOKUP(C463,Customers!$A$2:$A$101,Customers!$B$2:$B$101)</f>
        <v>Customer 093</v>
      </c>
      <c r="K463" s="3" t="str">
        <f>_xlfn.XLOOKUP(C463,Customers!$A$2:$A$101,Customers!$C$2:$C$101)</f>
        <v>Bristol</v>
      </c>
      <c r="L463" s="3" t="str">
        <f>_xlfn.XLOOKUP(C463,Customers!$A$2:$A$101,Customers!$D$2:$D$101)</f>
        <v>Consumer</v>
      </c>
      <c r="M463" s="3">
        <f t="shared" si="15"/>
        <v>612</v>
      </c>
      <c r="N463" s="3">
        <f>E463*_xlfn.XLOOKUP(D463,Products!$A$2:$A$11,Products!$E$2:$E$11)</f>
        <v>420</v>
      </c>
      <c r="O463" s="3">
        <f t="shared" si="14"/>
        <v>192</v>
      </c>
    </row>
    <row r="464" spans="1:15" x14ac:dyDescent="0.3">
      <c r="A464" t="s">
        <v>574</v>
      </c>
      <c r="B464" s="1">
        <v>45775</v>
      </c>
      <c r="C464" t="s">
        <v>21</v>
      </c>
      <c r="D464" t="s">
        <v>33</v>
      </c>
      <c r="E464">
        <v>3</v>
      </c>
      <c r="F464" s="2">
        <v>0.05</v>
      </c>
      <c r="G464" s="2" t="str">
        <f>_xlfn.XLOOKUP(D464,Products!$A$2:$A$11,Products!$B$2:$B$11)</f>
        <v>Notebook Pack</v>
      </c>
      <c r="H464" s="2" t="str">
        <f>_xlfn.XLOOKUP(D464,Products!$A$2:$A$11,Products!$C$2:$C$11)</f>
        <v>Stationery</v>
      </c>
      <c r="I464" s="3">
        <f>_xlfn.XLOOKUP(D464,Products!$A$2:$A$11,Products!$D$2:$D$11)</f>
        <v>12</v>
      </c>
      <c r="J464" s="3" t="str">
        <f>_xlfn.XLOOKUP(C464,Customers!$A$2:$A$101,Customers!$B$2:$B$101)</f>
        <v>Customer 032</v>
      </c>
      <c r="K464" s="3" t="str">
        <f>_xlfn.XLOOKUP(C464,Customers!$A$2:$A$101,Customers!$C$2:$C$101)</f>
        <v>Bristol</v>
      </c>
      <c r="L464" s="3" t="str">
        <f>_xlfn.XLOOKUP(C464,Customers!$A$2:$A$101,Customers!$D$2:$D$101)</f>
        <v>Small Business</v>
      </c>
      <c r="M464" s="3">
        <f t="shared" si="15"/>
        <v>34.199999999999996</v>
      </c>
      <c r="N464" s="3">
        <f>E464*_xlfn.XLOOKUP(D464,Products!$A$2:$A$11,Products!$E$2:$E$11)</f>
        <v>15</v>
      </c>
      <c r="O464" s="3">
        <f t="shared" si="14"/>
        <v>19.199999999999996</v>
      </c>
    </row>
    <row r="465" spans="1:15" x14ac:dyDescent="0.3">
      <c r="A465" t="s">
        <v>575</v>
      </c>
      <c r="B465" s="1">
        <v>45799</v>
      </c>
      <c r="C465" t="s">
        <v>37</v>
      </c>
      <c r="D465" t="s">
        <v>30</v>
      </c>
      <c r="E465">
        <v>1</v>
      </c>
      <c r="F465" s="2">
        <v>0.15</v>
      </c>
      <c r="G465" s="2" t="str">
        <f>_xlfn.XLOOKUP(D465,Products!$A$2:$A$11,Products!$B$2:$B$11)</f>
        <v>Wireless Mouse</v>
      </c>
      <c r="H465" s="2" t="str">
        <f>_xlfn.XLOOKUP(D465,Products!$A$2:$A$11,Products!$C$2:$C$11)</f>
        <v>Electronics</v>
      </c>
      <c r="I465" s="3">
        <f>_xlfn.XLOOKUP(D465,Products!$A$2:$A$11,Products!$D$2:$D$11)</f>
        <v>25</v>
      </c>
      <c r="J465" s="3" t="str">
        <f>_xlfn.XLOOKUP(C465,Customers!$A$2:$A$101,Customers!$B$2:$B$101)</f>
        <v>Customer 025</v>
      </c>
      <c r="K465" s="3" t="str">
        <f>_xlfn.XLOOKUP(C465,Customers!$A$2:$A$101,Customers!$C$2:$C$101)</f>
        <v>Birmingham</v>
      </c>
      <c r="L465" s="3" t="str">
        <f>_xlfn.XLOOKUP(C465,Customers!$A$2:$A$101,Customers!$D$2:$D$101)</f>
        <v>Small Business</v>
      </c>
      <c r="M465" s="3">
        <f t="shared" si="15"/>
        <v>21.25</v>
      </c>
      <c r="N465" s="3">
        <f>E465*_xlfn.XLOOKUP(D465,Products!$A$2:$A$11,Products!$E$2:$E$11)</f>
        <v>12</v>
      </c>
      <c r="O465" s="3">
        <f t="shared" si="14"/>
        <v>9.25</v>
      </c>
    </row>
    <row r="466" spans="1:15" x14ac:dyDescent="0.3">
      <c r="A466" t="s">
        <v>576</v>
      </c>
      <c r="B466" s="1">
        <v>45972</v>
      </c>
      <c r="C466" t="s">
        <v>486</v>
      </c>
      <c r="D466" t="s">
        <v>27</v>
      </c>
      <c r="E466">
        <v>2</v>
      </c>
      <c r="F466" s="2">
        <v>0.05</v>
      </c>
      <c r="G466" s="2" t="str">
        <f>_xlfn.XLOOKUP(D466,Products!$A$2:$A$11,Products!$B$2:$B$11)</f>
        <v>Laptop Stand</v>
      </c>
      <c r="H466" s="2" t="str">
        <f>_xlfn.XLOOKUP(D466,Products!$A$2:$A$11,Products!$C$2:$C$11)</f>
        <v>Office</v>
      </c>
      <c r="I466" s="3">
        <f>_xlfn.XLOOKUP(D466,Products!$A$2:$A$11,Products!$D$2:$D$11)</f>
        <v>35</v>
      </c>
      <c r="J466" s="3" t="str">
        <f>_xlfn.XLOOKUP(C466,Customers!$A$2:$A$101,Customers!$B$2:$B$101)</f>
        <v>Customer 099</v>
      </c>
      <c r="K466" s="3" t="str">
        <f>_xlfn.XLOOKUP(C466,Customers!$A$2:$A$101,Customers!$C$2:$C$101)</f>
        <v>London</v>
      </c>
      <c r="L466" s="3" t="str">
        <f>_xlfn.XLOOKUP(C466,Customers!$A$2:$A$101,Customers!$D$2:$D$101)</f>
        <v>Small Business</v>
      </c>
      <c r="M466" s="3">
        <f t="shared" si="15"/>
        <v>66.5</v>
      </c>
      <c r="N466" s="3">
        <f>E466*_xlfn.XLOOKUP(D466,Products!$A$2:$A$11,Products!$E$2:$E$11)</f>
        <v>40</v>
      </c>
      <c r="O466" s="3">
        <f t="shared" si="14"/>
        <v>26.5</v>
      </c>
    </row>
    <row r="467" spans="1:15" x14ac:dyDescent="0.3">
      <c r="A467" t="s">
        <v>577</v>
      </c>
      <c r="B467" s="1">
        <v>45692</v>
      </c>
      <c r="C467" t="s">
        <v>50</v>
      </c>
      <c r="D467" t="s">
        <v>8</v>
      </c>
      <c r="E467">
        <v>1</v>
      </c>
      <c r="F467" s="2">
        <v>0.15</v>
      </c>
      <c r="G467" s="2" t="str">
        <f>_xlfn.XLOOKUP(D467,Products!$A$2:$A$11,Products!$B$2:$B$11)</f>
        <v>USB-C Hub</v>
      </c>
      <c r="H467" s="2" t="str">
        <f>_xlfn.XLOOKUP(D467,Products!$A$2:$A$11,Products!$C$2:$C$11)</f>
        <v>Electronics</v>
      </c>
      <c r="I467" s="3">
        <f>_xlfn.XLOOKUP(D467,Products!$A$2:$A$11,Products!$D$2:$D$11)</f>
        <v>40</v>
      </c>
      <c r="J467" s="3" t="str">
        <f>_xlfn.XLOOKUP(C467,Customers!$A$2:$A$101,Customers!$B$2:$B$101)</f>
        <v>Customer 013</v>
      </c>
      <c r="K467" s="3" t="str">
        <f>_xlfn.XLOOKUP(C467,Customers!$A$2:$A$101,Customers!$C$2:$C$101)</f>
        <v>Bristol</v>
      </c>
      <c r="L467" s="3" t="str">
        <f>_xlfn.XLOOKUP(C467,Customers!$A$2:$A$101,Customers!$D$2:$D$101)</f>
        <v>Consumer</v>
      </c>
      <c r="M467" s="3">
        <f t="shared" si="15"/>
        <v>34</v>
      </c>
      <c r="N467" s="3">
        <f>E467*_xlfn.XLOOKUP(D467,Products!$A$2:$A$11,Products!$E$2:$E$11)</f>
        <v>19</v>
      </c>
      <c r="O467" s="3">
        <f t="shared" si="14"/>
        <v>15</v>
      </c>
    </row>
    <row r="468" spans="1:15" x14ac:dyDescent="0.3">
      <c r="A468" t="s">
        <v>578</v>
      </c>
      <c r="B468" s="1">
        <v>45964</v>
      </c>
      <c r="C468" t="s">
        <v>399</v>
      </c>
      <c r="D468" t="s">
        <v>27</v>
      </c>
      <c r="E468">
        <v>2</v>
      </c>
      <c r="F468" s="2">
        <v>0</v>
      </c>
      <c r="G468" s="2" t="str">
        <f>_xlfn.XLOOKUP(D468,Products!$A$2:$A$11,Products!$B$2:$B$11)</f>
        <v>Laptop Stand</v>
      </c>
      <c r="H468" s="2" t="str">
        <f>_xlfn.XLOOKUP(D468,Products!$A$2:$A$11,Products!$C$2:$C$11)</f>
        <v>Office</v>
      </c>
      <c r="I468" s="3">
        <f>_xlfn.XLOOKUP(D468,Products!$A$2:$A$11,Products!$D$2:$D$11)</f>
        <v>35</v>
      </c>
      <c r="J468" s="3" t="str">
        <f>_xlfn.XLOOKUP(C468,Customers!$A$2:$A$101,Customers!$B$2:$B$101)</f>
        <v>Customer 087</v>
      </c>
      <c r="K468" s="3" t="str">
        <f>_xlfn.XLOOKUP(C468,Customers!$A$2:$A$101,Customers!$C$2:$C$101)</f>
        <v>London</v>
      </c>
      <c r="L468" s="3" t="str">
        <f>_xlfn.XLOOKUP(C468,Customers!$A$2:$A$101,Customers!$D$2:$D$101)</f>
        <v>Corporate</v>
      </c>
      <c r="M468" s="3">
        <f t="shared" si="15"/>
        <v>70</v>
      </c>
      <c r="N468" s="3">
        <f>E468*_xlfn.XLOOKUP(D468,Products!$A$2:$A$11,Products!$E$2:$E$11)</f>
        <v>40</v>
      </c>
      <c r="O468" s="3">
        <f t="shared" si="14"/>
        <v>30</v>
      </c>
    </row>
    <row r="469" spans="1:15" x14ac:dyDescent="0.3">
      <c r="A469" t="s">
        <v>579</v>
      </c>
      <c r="B469" s="1">
        <v>45863</v>
      </c>
      <c r="C469" t="s">
        <v>130</v>
      </c>
      <c r="D469" t="s">
        <v>22</v>
      </c>
      <c r="E469">
        <v>5</v>
      </c>
      <c r="F469" s="2">
        <v>0.05</v>
      </c>
      <c r="G469" s="2" t="str">
        <f>_xlfn.XLOOKUP(D469,Products!$A$2:$A$11,Products!$B$2:$B$11)</f>
        <v>Desk Lamp</v>
      </c>
      <c r="H469" s="2" t="str">
        <f>_xlfn.XLOOKUP(D469,Products!$A$2:$A$11,Products!$C$2:$C$11)</f>
        <v>Office</v>
      </c>
      <c r="I469" s="3">
        <f>_xlfn.XLOOKUP(D469,Products!$A$2:$A$11,Products!$D$2:$D$11)</f>
        <v>30</v>
      </c>
      <c r="J469" s="3" t="str">
        <f>_xlfn.XLOOKUP(C469,Customers!$A$2:$A$101,Customers!$B$2:$B$101)</f>
        <v>Customer 057</v>
      </c>
      <c r="K469" s="3" t="str">
        <f>_xlfn.XLOOKUP(C469,Customers!$A$2:$A$101,Customers!$C$2:$C$101)</f>
        <v>London</v>
      </c>
      <c r="L469" s="3" t="str">
        <f>_xlfn.XLOOKUP(C469,Customers!$A$2:$A$101,Customers!$D$2:$D$101)</f>
        <v>Consumer</v>
      </c>
      <c r="M469" s="3">
        <f t="shared" si="15"/>
        <v>142.5</v>
      </c>
      <c r="N469" s="3">
        <f>E469*_xlfn.XLOOKUP(D469,Products!$A$2:$A$11,Products!$E$2:$E$11)</f>
        <v>75</v>
      </c>
      <c r="O469" s="3">
        <f t="shared" si="14"/>
        <v>67.5</v>
      </c>
    </row>
    <row r="470" spans="1:15" x14ac:dyDescent="0.3">
      <c r="A470" t="s">
        <v>580</v>
      </c>
      <c r="B470" s="1">
        <v>45686</v>
      </c>
      <c r="C470" t="s">
        <v>315</v>
      </c>
      <c r="D470" t="s">
        <v>11</v>
      </c>
      <c r="E470">
        <v>3</v>
      </c>
      <c r="F470" s="2">
        <v>0.05</v>
      </c>
      <c r="G470" s="2" t="str">
        <f>_xlfn.XLOOKUP(D470,Products!$A$2:$A$11,Products!$B$2:$B$11)</f>
        <v>Office Chair</v>
      </c>
      <c r="H470" s="2" t="str">
        <f>_xlfn.XLOOKUP(D470,Products!$A$2:$A$11,Products!$C$2:$C$11)</f>
        <v>Office</v>
      </c>
      <c r="I470" s="3">
        <f>_xlfn.XLOOKUP(D470,Products!$A$2:$A$11,Products!$D$2:$D$11)</f>
        <v>180</v>
      </c>
      <c r="J470" s="3" t="str">
        <f>_xlfn.XLOOKUP(C470,Customers!$A$2:$A$101,Customers!$B$2:$B$101)</f>
        <v>Customer 018</v>
      </c>
      <c r="K470" s="3" t="str">
        <f>_xlfn.XLOOKUP(C470,Customers!$A$2:$A$101,Customers!$C$2:$C$101)</f>
        <v>Birmingham</v>
      </c>
      <c r="L470" s="3" t="str">
        <f>_xlfn.XLOOKUP(C470,Customers!$A$2:$A$101,Customers!$D$2:$D$101)</f>
        <v>Consumer</v>
      </c>
      <c r="M470" s="3">
        <f t="shared" si="15"/>
        <v>513</v>
      </c>
      <c r="N470" s="3">
        <f>E470*_xlfn.XLOOKUP(D470,Products!$A$2:$A$11,Products!$E$2:$E$11)</f>
        <v>315</v>
      </c>
      <c r="O470" s="3">
        <f t="shared" si="14"/>
        <v>198</v>
      </c>
    </row>
    <row r="471" spans="1:15" x14ac:dyDescent="0.3">
      <c r="A471" t="s">
        <v>581</v>
      </c>
      <c r="B471" s="1">
        <v>45952</v>
      </c>
      <c r="C471" t="s">
        <v>252</v>
      </c>
      <c r="D471" t="s">
        <v>8</v>
      </c>
      <c r="E471">
        <v>5</v>
      </c>
      <c r="F471" s="2">
        <v>0.1</v>
      </c>
      <c r="G471" s="2" t="str">
        <f>_xlfn.XLOOKUP(D471,Products!$A$2:$A$11,Products!$B$2:$B$11)</f>
        <v>USB-C Hub</v>
      </c>
      <c r="H471" s="2" t="str">
        <f>_xlfn.XLOOKUP(D471,Products!$A$2:$A$11,Products!$C$2:$C$11)</f>
        <v>Electronics</v>
      </c>
      <c r="I471" s="3">
        <f>_xlfn.XLOOKUP(D471,Products!$A$2:$A$11,Products!$D$2:$D$11)</f>
        <v>40</v>
      </c>
      <c r="J471" s="3" t="str">
        <f>_xlfn.XLOOKUP(C471,Customers!$A$2:$A$101,Customers!$B$2:$B$101)</f>
        <v>Customer 041</v>
      </c>
      <c r="K471" s="3" t="str">
        <f>_xlfn.XLOOKUP(C471,Customers!$A$2:$A$101,Customers!$C$2:$C$101)</f>
        <v>Manchester</v>
      </c>
      <c r="L471" s="3" t="str">
        <f>_xlfn.XLOOKUP(C471,Customers!$A$2:$A$101,Customers!$D$2:$D$101)</f>
        <v>Small Business</v>
      </c>
      <c r="M471" s="3">
        <f t="shared" si="15"/>
        <v>180</v>
      </c>
      <c r="N471" s="3">
        <f>E471*_xlfn.XLOOKUP(D471,Products!$A$2:$A$11,Products!$E$2:$E$11)</f>
        <v>95</v>
      </c>
      <c r="O471" s="3">
        <f t="shared" si="14"/>
        <v>85</v>
      </c>
    </row>
    <row r="472" spans="1:15" x14ac:dyDescent="0.3">
      <c r="A472" t="s">
        <v>582</v>
      </c>
      <c r="B472" s="1">
        <v>45779</v>
      </c>
      <c r="C472" t="s">
        <v>213</v>
      </c>
      <c r="D472" t="s">
        <v>46</v>
      </c>
      <c r="E472">
        <v>5</v>
      </c>
      <c r="F472" s="2">
        <v>0.05</v>
      </c>
      <c r="G472" s="2" t="str">
        <f>_xlfn.XLOOKUP(D472,Products!$A$2:$A$11,Products!$B$2:$B$11)</f>
        <v>Keyboard</v>
      </c>
      <c r="H472" s="2" t="str">
        <f>_xlfn.XLOOKUP(D472,Products!$A$2:$A$11,Products!$C$2:$C$11)</f>
        <v>Electronics</v>
      </c>
      <c r="I472" s="3">
        <f>_xlfn.XLOOKUP(D472,Products!$A$2:$A$11,Products!$D$2:$D$11)</f>
        <v>45</v>
      </c>
      <c r="J472" s="3" t="str">
        <f>_xlfn.XLOOKUP(C472,Customers!$A$2:$A$101,Customers!$B$2:$B$101)</f>
        <v>Customer 039</v>
      </c>
      <c r="K472" s="3" t="str">
        <f>_xlfn.XLOOKUP(C472,Customers!$A$2:$A$101,Customers!$C$2:$C$101)</f>
        <v>Birmingham</v>
      </c>
      <c r="L472" s="3" t="str">
        <f>_xlfn.XLOOKUP(C472,Customers!$A$2:$A$101,Customers!$D$2:$D$101)</f>
        <v>Small Business</v>
      </c>
      <c r="M472" s="3">
        <f t="shared" si="15"/>
        <v>213.75</v>
      </c>
      <c r="N472" s="3">
        <f>E472*_xlfn.XLOOKUP(D472,Products!$A$2:$A$11,Products!$E$2:$E$11)</f>
        <v>110</v>
      </c>
      <c r="O472" s="3">
        <f t="shared" si="14"/>
        <v>103.75</v>
      </c>
    </row>
    <row r="473" spans="1:15" x14ac:dyDescent="0.3">
      <c r="A473" t="s">
        <v>583</v>
      </c>
      <c r="B473" s="1">
        <v>45869</v>
      </c>
      <c r="C473" t="s">
        <v>213</v>
      </c>
      <c r="D473" t="s">
        <v>60</v>
      </c>
      <c r="E473">
        <v>1</v>
      </c>
      <c r="F473" s="2">
        <v>0.05</v>
      </c>
      <c r="G473" s="2" t="str">
        <f>_xlfn.XLOOKUP(D473,Products!$A$2:$A$11,Products!$B$2:$B$11)</f>
        <v>Water Bottle</v>
      </c>
      <c r="H473" s="2" t="str">
        <f>_xlfn.XLOOKUP(D473,Products!$A$2:$A$11,Products!$C$2:$C$11)</f>
        <v>Lifestyle</v>
      </c>
      <c r="I473" s="3">
        <f>_xlfn.XLOOKUP(D473,Products!$A$2:$A$11,Products!$D$2:$D$11)</f>
        <v>18</v>
      </c>
      <c r="J473" s="3" t="str">
        <f>_xlfn.XLOOKUP(C473,Customers!$A$2:$A$101,Customers!$B$2:$B$101)</f>
        <v>Customer 039</v>
      </c>
      <c r="K473" s="3" t="str">
        <f>_xlfn.XLOOKUP(C473,Customers!$A$2:$A$101,Customers!$C$2:$C$101)</f>
        <v>Birmingham</v>
      </c>
      <c r="L473" s="3" t="str">
        <f>_xlfn.XLOOKUP(C473,Customers!$A$2:$A$101,Customers!$D$2:$D$101)</f>
        <v>Small Business</v>
      </c>
      <c r="M473" s="3">
        <f t="shared" si="15"/>
        <v>17.099999999999998</v>
      </c>
      <c r="N473" s="3">
        <f>E473*_xlfn.XLOOKUP(D473,Products!$A$2:$A$11,Products!$E$2:$E$11)</f>
        <v>7</v>
      </c>
      <c r="O473" s="3">
        <f t="shared" si="14"/>
        <v>10.099999999999998</v>
      </c>
    </row>
    <row r="474" spans="1:15" x14ac:dyDescent="0.3">
      <c r="A474" t="s">
        <v>584</v>
      </c>
      <c r="B474" s="1">
        <v>45978</v>
      </c>
      <c r="C474" t="s">
        <v>399</v>
      </c>
      <c r="D474" t="s">
        <v>16</v>
      </c>
      <c r="E474">
        <v>5</v>
      </c>
      <c r="F474" s="2">
        <v>0.15</v>
      </c>
      <c r="G474" s="2" t="str">
        <f>_xlfn.XLOOKUP(D474,Products!$A$2:$A$11,Products!$B$2:$B$11)</f>
        <v>Headphones</v>
      </c>
      <c r="H474" s="2" t="str">
        <f>_xlfn.XLOOKUP(D474,Products!$A$2:$A$11,Products!$C$2:$C$11)</f>
        <v>Electronics</v>
      </c>
      <c r="I474" s="3">
        <f>_xlfn.XLOOKUP(D474,Products!$A$2:$A$11,Products!$D$2:$D$11)</f>
        <v>75</v>
      </c>
      <c r="J474" s="3" t="str">
        <f>_xlfn.XLOOKUP(C474,Customers!$A$2:$A$101,Customers!$B$2:$B$101)</f>
        <v>Customer 087</v>
      </c>
      <c r="K474" s="3" t="str">
        <f>_xlfn.XLOOKUP(C474,Customers!$A$2:$A$101,Customers!$C$2:$C$101)</f>
        <v>London</v>
      </c>
      <c r="L474" s="3" t="str">
        <f>_xlfn.XLOOKUP(C474,Customers!$A$2:$A$101,Customers!$D$2:$D$101)</f>
        <v>Corporate</v>
      </c>
      <c r="M474" s="3">
        <f t="shared" si="15"/>
        <v>318.75</v>
      </c>
      <c r="N474" s="3">
        <f>E474*_xlfn.XLOOKUP(D474,Products!$A$2:$A$11,Products!$E$2:$E$11)</f>
        <v>200</v>
      </c>
      <c r="O474" s="3">
        <f t="shared" si="14"/>
        <v>118.75</v>
      </c>
    </row>
    <row r="475" spans="1:15" x14ac:dyDescent="0.3">
      <c r="A475" t="s">
        <v>585</v>
      </c>
      <c r="B475" s="1">
        <v>45682</v>
      </c>
      <c r="C475" t="s">
        <v>80</v>
      </c>
      <c r="D475" t="s">
        <v>16</v>
      </c>
      <c r="E475">
        <v>5</v>
      </c>
      <c r="F475" s="2">
        <v>0.1</v>
      </c>
      <c r="G475" s="2" t="str">
        <f>_xlfn.XLOOKUP(D475,Products!$A$2:$A$11,Products!$B$2:$B$11)</f>
        <v>Headphones</v>
      </c>
      <c r="H475" s="2" t="str">
        <f>_xlfn.XLOOKUP(D475,Products!$A$2:$A$11,Products!$C$2:$C$11)</f>
        <v>Electronics</v>
      </c>
      <c r="I475" s="3">
        <f>_xlfn.XLOOKUP(D475,Products!$A$2:$A$11,Products!$D$2:$D$11)</f>
        <v>75</v>
      </c>
      <c r="J475" s="3" t="str">
        <f>_xlfn.XLOOKUP(C475,Customers!$A$2:$A$101,Customers!$B$2:$B$101)</f>
        <v>Customer 045</v>
      </c>
      <c r="K475" s="3" t="str">
        <f>_xlfn.XLOOKUP(C475,Customers!$A$2:$A$101,Customers!$C$2:$C$101)</f>
        <v>Sheffield</v>
      </c>
      <c r="L475" s="3" t="str">
        <f>_xlfn.XLOOKUP(C475,Customers!$A$2:$A$101,Customers!$D$2:$D$101)</f>
        <v>Consumer</v>
      </c>
      <c r="M475" s="3">
        <f t="shared" si="15"/>
        <v>337.5</v>
      </c>
      <c r="N475" s="3">
        <f>E475*_xlfn.XLOOKUP(D475,Products!$A$2:$A$11,Products!$E$2:$E$11)</f>
        <v>200</v>
      </c>
      <c r="O475" s="3">
        <f t="shared" si="14"/>
        <v>137.5</v>
      </c>
    </row>
    <row r="476" spans="1:15" x14ac:dyDescent="0.3">
      <c r="A476" t="s">
        <v>586</v>
      </c>
      <c r="B476" s="1">
        <v>46014</v>
      </c>
      <c r="C476" t="s">
        <v>188</v>
      </c>
      <c r="D476" t="s">
        <v>16</v>
      </c>
      <c r="E476">
        <v>2</v>
      </c>
      <c r="F476" s="2">
        <v>0.1</v>
      </c>
      <c r="G476" s="2" t="str">
        <f>_xlfn.XLOOKUP(D476,Products!$A$2:$A$11,Products!$B$2:$B$11)</f>
        <v>Headphones</v>
      </c>
      <c r="H476" s="2" t="str">
        <f>_xlfn.XLOOKUP(D476,Products!$A$2:$A$11,Products!$C$2:$C$11)</f>
        <v>Electronics</v>
      </c>
      <c r="I476" s="3">
        <f>_xlfn.XLOOKUP(D476,Products!$A$2:$A$11,Products!$D$2:$D$11)</f>
        <v>75</v>
      </c>
      <c r="J476" s="3" t="str">
        <f>_xlfn.XLOOKUP(C476,Customers!$A$2:$A$101,Customers!$B$2:$B$101)</f>
        <v>Customer 054</v>
      </c>
      <c r="K476" s="3" t="str">
        <f>_xlfn.XLOOKUP(C476,Customers!$A$2:$A$101,Customers!$C$2:$C$101)</f>
        <v>London</v>
      </c>
      <c r="L476" s="3" t="str">
        <f>_xlfn.XLOOKUP(C476,Customers!$A$2:$A$101,Customers!$D$2:$D$101)</f>
        <v>Consumer</v>
      </c>
      <c r="M476" s="3">
        <f t="shared" si="15"/>
        <v>135</v>
      </c>
      <c r="N476" s="3">
        <f>E476*_xlfn.XLOOKUP(D476,Products!$A$2:$A$11,Products!$E$2:$E$11)</f>
        <v>80</v>
      </c>
      <c r="O476" s="3">
        <f t="shared" si="14"/>
        <v>55</v>
      </c>
    </row>
    <row r="477" spans="1:15" x14ac:dyDescent="0.3">
      <c r="A477" t="s">
        <v>587</v>
      </c>
      <c r="B477" s="1">
        <v>45850</v>
      </c>
      <c r="C477" t="s">
        <v>218</v>
      </c>
      <c r="D477" t="s">
        <v>11</v>
      </c>
      <c r="E477">
        <v>4</v>
      </c>
      <c r="F477" s="2">
        <v>0.05</v>
      </c>
      <c r="G477" s="2" t="str">
        <f>_xlfn.XLOOKUP(D477,Products!$A$2:$A$11,Products!$B$2:$B$11)</f>
        <v>Office Chair</v>
      </c>
      <c r="H477" s="2" t="str">
        <f>_xlfn.XLOOKUP(D477,Products!$A$2:$A$11,Products!$C$2:$C$11)</f>
        <v>Office</v>
      </c>
      <c r="I477" s="3">
        <f>_xlfn.XLOOKUP(D477,Products!$A$2:$A$11,Products!$D$2:$D$11)</f>
        <v>180</v>
      </c>
      <c r="J477" s="3" t="str">
        <f>_xlfn.XLOOKUP(C477,Customers!$A$2:$A$101,Customers!$B$2:$B$101)</f>
        <v>Customer 024</v>
      </c>
      <c r="K477" s="3" t="str">
        <f>_xlfn.XLOOKUP(C477,Customers!$A$2:$A$101,Customers!$C$2:$C$101)</f>
        <v>Leeds</v>
      </c>
      <c r="L477" s="3" t="str">
        <f>_xlfn.XLOOKUP(C477,Customers!$A$2:$A$101,Customers!$D$2:$D$101)</f>
        <v>Consumer</v>
      </c>
      <c r="M477" s="3">
        <f t="shared" si="15"/>
        <v>684</v>
      </c>
      <c r="N477" s="3">
        <f>E477*_xlfn.XLOOKUP(D477,Products!$A$2:$A$11,Products!$E$2:$E$11)</f>
        <v>420</v>
      </c>
      <c r="O477" s="3">
        <f t="shared" si="14"/>
        <v>264</v>
      </c>
    </row>
    <row r="478" spans="1:15" x14ac:dyDescent="0.3">
      <c r="A478" t="s">
        <v>588</v>
      </c>
      <c r="B478" s="1">
        <v>45773</v>
      </c>
      <c r="C478" t="s">
        <v>213</v>
      </c>
      <c r="D478" t="s">
        <v>46</v>
      </c>
      <c r="E478">
        <v>4</v>
      </c>
      <c r="F478" s="2">
        <v>0</v>
      </c>
      <c r="G478" s="2" t="str">
        <f>_xlfn.XLOOKUP(D478,Products!$A$2:$A$11,Products!$B$2:$B$11)</f>
        <v>Keyboard</v>
      </c>
      <c r="H478" s="2" t="str">
        <f>_xlfn.XLOOKUP(D478,Products!$A$2:$A$11,Products!$C$2:$C$11)</f>
        <v>Electronics</v>
      </c>
      <c r="I478" s="3">
        <f>_xlfn.XLOOKUP(D478,Products!$A$2:$A$11,Products!$D$2:$D$11)</f>
        <v>45</v>
      </c>
      <c r="J478" s="3" t="str">
        <f>_xlfn.XLOOKUP(C478,Customers!$A$2:$A$101,Customers!$B$2:$B$101)</f>
        <v>Customer 039</v>
      </c>
      <c r="K478" s="3" t="str">
        <f>_xlfn.XLOOKUP(C478,Customers!$A$2:$A$101,Customers!$C$2:$C$101)</f>
        <v>Birmingham</v>
      </c>
      <c r="L478" s="3" t="str">
        <f>_xlfn.XLOOKUP(C478,Customers!$A$2:$A$101,Customers!$D$2:$D$101)</f>
        <v>Small Business</v>
      </c>
      <c r="M478" s="3">
        <f t="shared" si="15"/>
        <v>180</v>
      </c>
      <c r="N478" s="3">
        <f>E478*_xlfn.XLOOKUP(D478,Products!$A$2:$A$11,Products!$E$2:$E$11)</f>
        <v>88</v>
      </c>
      <c r="O478" s="3">
        <f t="shared" si="14"/>
        <v>92</v>
      </c>
    </row>
    <row r="479" spans="1:15" x14ac:dyDescent="0.3">
      <c r="A479" t="s">
        <v>589</v>
      </c>
      <c r="B479" s="1">
        <v>45945</v>
      </c>
      <c r="C479" t="s">
        <v>123</v>
      </c>
      <c r="D479" t="s">
        <v>16</v>
      </c>
      <c r="E479">
        <v>5</v>
      </c>
      <c r="F479" s="2">
        <v>0.05</v>
      </c>
      <c r="G479" s="2" t="str">
        <f>_xlfn.XLOOKUP(D479,Products!$A$2:$A$11,Products!$B$2:$B$11)</f>
        <v>Headphones</v>
      </c>
      <c r="H479" s="2" t="str">
        <f>_xlfn.XLOOKUP(D479,Products!$A$2:$A$11,Products!$C$2:$C$11)</f>
        <v>Electronics</v>
      </c>
      <c r="I479" s="3">
        <f>_xlfn.XLOOKUP(D479,Products!$A$2:$A$11,Products!$D$2:$D$11)</f>
        <v>75</v>
      </c>
      <c r="J479" s="3" t="str">
        <f>_xlfn.XLOOKUP(C479,Customers!$A$2:$A$101,Customers!$B$2:$B$101)</f>
        <v>Customer 053</v>
      </c>
      <c r="K479" s="3" t="str">
        <f>_xlfn.XLOOKUP(C479,Customers!$A$2:$A$101,Customers!$C$2:$C$101)</f>
        <v>Sheffield</v>
      </c>
      <c r="L479" s="3" t="str">
        <f>_xlfn.XLOOKUP(C479,Customers!$A$2:$A$101,Customers!$D$2:$D$101)</f>
        <v>Small Business</v>
      </c>
      <c r="M479" s="3">
        <f t="shared" si="15"/>
        <v>356.25</v>
      </c>
      <c r="N479" s="3">
        <f>E479*_xlfn.XLOOKUP(D479,Products!$A$2:$A$11,Products!$E$2:$E$11)</f>
        <v>200</v>
      </c>
      <c r="O479" s="3">
        <f t="shared" si="14"/>
        <v>156.25</v>
      </c>
    </row>
    <row r="480" spans="1:15" x14ac:dyDescent="0.3">
      <c r="A480" t="s">
        <v>590</v>
      </c>
      <c r="B480" s="1">
        <v>45856</v>
      </c>
      <c r="C480" t="s">
        <v>21</v>
      </c>
      <c r="D480" t="s">
        <v>60</v>
      </c>
      <c r="E480">
        <v>2</v>
      </c>
      <c r="F480" s="2">
        <v>0.1</v>
      </c>
      <c r="G480" s="2" t="str">
        <f>_xlfn.XLOOKUP(D480,Products!$A$2:$A$11,Products!$B$2:$B$11)</f>
        <v>Water Bottle</v>
      </c>
      <c r="H480" s="2" t="str">
        <f>_xlfn.XLOOKUP(D480,Products!$A$2:$A$11,Products!$C$2:$C$11)</f>
        <v>Lifestyle</v>
      </c>
      <c r="I480" s="3">
        <f>_xlfn.XLOOKUP(D480,Products!$A$2:$A$11,Products!$D$2:$D$11)</f>
        <v>18</v>
      </c>
      <c r="J480" s="3" t="str">
        <f>_xlfn.XLOOKUP(C480,Customers!$A$2:$A$101,Customers!$B$2:$B$101)</f>
        <v>Customer 032</v>
      </c>
      <c r="K480" s="3" t="str">
        <f>_xlfn.XLOOKUP(C480,Customers!$A$2:$A$101,Customers!$C$2:$C$101)</f>
        <v>Bristol</v>
      </c>
      <c r="L480" s="3" t="str">
        <f>_xlfn.XLOOKUP(C480,Customers!$A$2:$A$101,Customers!$D$2:$D$101)</f>
        <v>Small Business</v>
      </c>
      <c r="M480" s="3">
        <f t="shared" si="15"/>
        <v>32.4</v>
      </c>
      <c r="N480" s="3">
        <f>E480*_xlfn.XLOOKUP(D480,Products!$A$2:$A$11,Products!$E$2:$E$11)</f>
        <v>14</v>
      </c>
      <c r="O480" s="3">
        <f t="shared" si="14"/>
        <v>18.399999999999999</v>
      </c>
    </row>
    <row r="481" spans="1:16" x14ac:dyDescent="0.3">
      <c r="A481" t="s">
        <v>591</v>
      </c>
      <c r="B481" s="1">
        <v>45989</v>
      </c>
      <c r="C481" t="s">
        <v>70</v>
      </c>
      <c r="D481" t="s">
        <v>33</v>
      </c>
      <c r="E481">
        <v>3</v>
      </c>
      <c r="F481" s="2">
        <v>0</v>
      </c>
      <c r="G481" s="2" t="str">
        <f>_xlfn.XLOOKUP(D481,Products!$A$2:$A$11,Products!$B$2:$B$11)</f>
        <v>Notebook Pack</v>
      </c>
      <c r="H481" s="2" t="str">
        <f>_xlfn.XLOOKUP(D481,Products!$A$2:$A$11,Products!$C$2:$C$11)</f>
        <v>Stationery</v>
      </c>
      <c r="I481" s="3">
        <f>_xlfn.XLOOKUP(D481,Products!$A$2:$A$11,Products!$D$2:$D$11)</f>
        <v>12</v>
      </c>
      <c r="J481" s="3" t="str">
        <f>_xlfn.XLOOKUP(C481,Customers!$A$2:$A$101,Customers!$B$2:$B$101)</f>
        <v>Customer 011</v>
      </c>
      <c r="K481" s="3" t="str">
        <f>_xlfn.XLOOKUP(C481,Customers!$A$2:$A$101,Customers!$C$2:$C$101)</f>
        <v>Manchester</v>
      </c>
      <c r="L481" s="3" t="str">
        <f>_xlfn.XLOOKUP(C481,Customers!$A$2:$A$101,Customers!$D$2:$D$101)</f>
        <v>Corporate</v>
      </c>
      <c r="M481" s="3">
        <f t="shared" si="15"/>
        <v>36</v>
      </c>
      <c r="N481" s="3">
        <f>E481*_xlfn.XLOOKUP(D481,Products!$A$2:$A$11,Products!$E$2:$E$11)</f>
        <v>15</v>
      </c>
      <c r="O481" s="3">
        <f t="shared" si="14"/>
        <v>21</v>
      </c>
    </row>
    <row r="482" spans="1:16" x14ac:dyDescent="0.3">
      <c r="A482" t="s">
        <v>592</v>
      </c>
      <c r="B482" s="1">
        <v>45932</v>
      </c>
      <c r="C482" t="s">
        <v>276</v>
      </c>
      <c r="D482" t="s">
        <v>22</v>
      </c>
      <c r="E482">
        <v>1</v>
      </c>
      <c r="F482" s="2">
        <v>0.1</v>
      </c>
      <c r="G482" s="2" t="str">
        <f>_xlfn.XLOOKUP(D482,Products!$A$2:$A$11,Products!$B$2:$B$11)</f>
        <v>Desk Lamp</v>
      </c>
      <c r="H482" s="2" t="str">
        <f>_xlfn.XLOOKUP(D482,Products!$A$2:$A$11,Products!$C$2:$C$11)</f>
        <v>Office</v>
      </c>
      <c r="I482" s="3">
        <f>_xlfn.XLOOKUP(D482,Products!$A$2:$A$11,Products!$D$2:$D$11)</f>
        <v>30</v>
      </c>
      <c r="J482" s="3" t="str">
        <f>_xlfn.XLOOKUP(C482,Customers!$A$2:$A$101,Customers!$B$2:$B$101)</f>
        <v>Customer 093</v>
      </c>
      <c r="K482" s="3" t="str">
        <f>_xlfn.XLOOKUP(C482,Customers!$A$2:$A$101,Customers!$C$2:$C$101)</f>
        <v>Bristol</v>
      </c>
      <c r="L482" s="3" t="str">
        <f>_xlfn.XLOOKUP(C482,Customers!$A$2:$A$101,Customers!$D$2:$D$101)</f>
        <v>Consumer</v>
      </c>
      <c r="M482" s="3">
        <f t="shared" si="15"/>
        <v>27</v>
      </c>
      <c r="N482" s="3">
        <f>E482*_xlfn.XLOOKUP(D482,Products!$A$2:$A$11,Products!$E$2:$E$11)</f>
        <v>15</v>
      </c>
      <c r="O482" s="3">
        <f t="shared" si="14"/>
        <v>12</v>
      </c>
    </row>
    <row r="483" spans="1:16" x14ac:dyDescent="0.3">
      <c r="A483" t="s">
        <v>593</v>
      </c>
      <c r="B483" s="1">
        <v>45851</v>
      </c>
      <c r="C483" t="s">
        <v>399</v>
      </c>
      <c r="D483" t="s">
        <v>8</v>
      </c>
      <c r="E483">
        <v>5</v>
      </c>
      <c r="F483" s="2">
        <v>0</v>
      </c>
      <c r="G483" s="2" t="str">
        <f>_xlfn.XLOOKUP(D483,Products!$A$2:$A$11,Products!$B$2:$B$11)</f>
        <v>USB-C Hub</v>
      </c>
      <c r="H483" s="2" t="str">
        <f>_xlfn.XLOOKUP(D483,Products!$A$2:$A$11,Products!$C$2:$C$11)</f>
        <v>Electronics</v>
      </c>
      <c r="I483" s="3">
        <f>_xlfn.XLOOKUP(D483,Products!$A$2:$A$11,Products!$D$2:$D$11)</f>
        <v>40</v>
      </c>
      <c r="J483" s="3" t="str">
        <f>_xlfn.XLOOKUP(C483,Customers!$A$2:$A$101,Customers!$B$2:$B$101)</f>
        <v>Customer 087</v>
      </c>
      <c r="K483" s="3" t="str">
        <f>_xlfn.XLOOKUP(C483,Customers!$A$2:$A$101,Customers!$C$2:$C$101)</f>
        <v>London</v>
      </c>
      <c r="L483" s="3" t="str">
        <f>_xlfn.XLOOKUP(C483,Customers!$A$2:$A$101,Customers!$D$2:$D$101)</f>
        <v>Corporate</v>
      </c>
      <c r="M483" s="3">
        <f t="shared" si="15"/>
        <v>200</v>
      </c>
      <c r="N483" s="3">
        <f>E483*_xlfn.XLOOKUP(D483,Products!$A$2:$A$11,Products!$E$2:$E$11)</f>
        <v>95</v>
      </c>
      <c r="O483" s="3">
        <f t="shared" si="14"/>
        <v>105</v>
      </c>
    </row>
    <row r="484" spans="1:16" x14ac:dyDescent="0.3">
      <c r="A484" t="s">
        <v>594</v>
      </c>
      <c r="B484" s="1">
        <v>45695</v>
      </c>
      <c r="C484" t="s">
        <v>37</v>
      </c>
      <c r="D484" t="s">
        <v>8</v>
      </c>
      <c r="E484">
        <v>5</v>
      </c>
      <c r="F484" s="2">
        <v>0.05</v>
      </c>
      <c r="G484" s="2" t="str">
        <f>_xlfn.XLOOKUP(D484,Products!$A$2:$A$11,Products!$B$2:$B$11)</f>
        <v>USB-C Hub</v>
      </c>
      <c r="H484" s="2" t="str">
        <f>_xlfn.XLOOKUP(D484,Products!$A$2:$A$11,Products!$C$2:$C$11)</f>
        <v>Electronics</v>
      </c>
      <c r="I484" s="3">
        <f>_xlfn.XLOOKUP(D484,Products!$A$2:$A$11,Products!$D$2:$D$11)</f>
        <v>40</v>
      </c>
      <c r="J484" s="3" t="str">
        <f>_xlfn.XLOOKUP(C484,Customers!$A$2:$A$101,Customers!$B$2:$B$101)</f>
        <v>Customer 025</v>
      </c>
      <c r="K484" s="3" t="str">
        <f>_xlfn.XLOOKUP(C484,Customers!$A$2:$A$101,Customers!$C$2:$C$101)</f>
        <v>Birmingham</v>
      </c>
      <c r="L484" s="3" t="str">
        <f>_xlfn.XLOOKUP(C484,Customers!$A$2:$A$101,Customers!$D$2:$D$101)</f>
        <v>Small Business</v>
      </c>
      <c r="M484" s="3">
        <f t="shared" si="15"/>
        <v>190</v>
      </c>
      <c r="N484" s="3">
        <f>E484*_xlfn.XLOOKUP(D484,Products!$A$2:$A$11,Products!$E$2:$E$11)</f>
        <v>95</v>
      </c>
      <c r="O484" s="3">
        <f t="shared" si="14"/>
        <v>95</v>
      </c>
    </row>
    <row r="485" spans="1:16" x14ac:dyDescent="0.3">
      <c r="A485" t="s">
        <v>595</v>
      </c>
      <c r="B485" s="1">
        <v>45903</v>
      </c>
      <c r="C485" t="s">
        <v>72</v>
      </c>
      <c r="D485" t="s">
        <v>19</v>
      </c>
      <c r="E485">
        <v>3</v>
      </c>
      <c r="F485" s="2">
        <v>0</v>
      </c>
      <c r="G485" s="2" t="str">
        <f>_xlfn.XLOOKUP(D485,Products!$A$2:$A$11,Products!$B$2:$B$11)</f>
        <v>Backpack</v>
      </c>
      <c r="H485" s="2" t="str">
        <f>_xlfn.XLOOKUP(D485,Products!$A$2:$A$11,Products!$C$2:$C$11)</f>
        <v>Lifestyle</v>
      </c>
      <c r="I485" s="3">
        <f>_xlfn.XLOOKUP(D485,Products!$A$2:$A$11,Products!$D$2:$D$11)</f>
        <v>55</v>
      </c>
      <c r="J485" s="3" t="str">
        <f>_xlfn.XLOOKUP(C485,Customers!$A$2:$A$101,Customers!$B$2:$B$101)</f>
        <v>Customer 027</v>
      </c>
      <c r="K485" s="3" t="str">
        <f>_xlfn.XLOOKUP(C485,Customers!$A$2:$A$101,Customers!$C$2:$C$101)</f>
        <v>London</v>
      </c>
      <c r="L485" s="3" t="str">
        <f>_xlfn.XLOOKUP(C485,Customers!$A$2:$A$101,Customers!$D$2:$D$101)</f>
        <v>Corporate</v>
      </c>
      <c r="M485" s="3">
        <f t="shared" si="15"/>
        <v>165</v>
      </c>
      <c r="N485" s="3">
        <f>E485*_xlfn.XLOOKUP(D485,Products!$A$2:$A$11,Products!$E$2:$E$11)</f>
        <v>81</v>
      </c>
      <c r="O485" s="3">
        <f t="shared" si="14"/>
        <v>84</v>
      </c>
    </row>
    <row r="486" spans="1:16" x14ac:dyDescent="0.3">
      <c r="A486" t="s">
        <v>596</v>
      </c>
      <c r="B486" s="1">
        <v>45766</v>
      </c>
      <c r="C486" t="s">
        <v>37</v>
      </c>
      <c r="D486" t="s">
        <v>30</v>
      </c>
      <c r="E486">
        <v>4</v>
      </c>
      <c r="F486" s="2">
        <v>0.05</v>
      </c>
      <c r="G486" s="2" t="str">
        <f>_xlfn.XLOOKUP(D486,Products!$A$2:$A$11,Products!$B$2:$B$11)</f>
        <v>Wireless Mouse</v>
      </c>
      <c r="H486" s="2" t="str">
        <f>_xlfn.XLOOKUP(D486,Products!$A$2:$A$11,Products!$C$2:$C$11)</f>
        <v>Electronics</v>
      </c>
      <c r="I486" s="3">
        <f>_xlfn.XLOOKUP(D486,Products!$A$2:$A$11,Products!$D$2:$D$11)</f>
        <v>25</v>
      </c>
      <c r="J486" s="3" t="str">
        <f>_xlfn.XLOOKUP(C486,Customers!$A$2:$A$101,Customers!$B$2:$B$101)</f>
        <v>Customer 025</v>
      </c>
      <c r="K486" s="3" t="str">
        <f>_xlfn.XLOOKUP(C486,Customers!$A$2:$A$101,Customers!$C$2:$C$101)</f>
        <v>Birmingham</v>
      </c>
      <c r="L486" s="3" t="str">
        <f>_xlfn.XLOOKUP(C486,Customers!$A$2:$A$101,Customers!$D$2:$D$101)</f>
        <v>Small Business</v>
      </c>
      <c r="M486" s="3">
        <f t="shared" si="15"/>
        <v>95</v>
      </c>
      <c r="N486" s="3">
        <f>E486*_xlfn.XLOOKUP(D486,Products!$A$2:$A$11,Products!$E$2:$E$11)</f>
        <v>48</v>
      </c>
      <c r="O486" s="3">
        <f t="shared" si="14"/>
        <v>47</v>
      </c>
    </row>
    <row r="487" spans="1:16" x14ac:dyDescent="0.3">
      <c r="A487" t="s">
        <v>597</v>
      </c>
      <c r="B487" s="1">
        <v>46014</v>
      </c>
      <c r="C487" t="s">
        <v>15</v>
      </c>
      <c r="D487" t="s">
        <v>22</v>
      </c>
      <c r="E487">
        <v>4</v>
      </c>
      <c r="F487" s="2">
        <v>0.05</v>
      </c>
      <c r="G487" s="2" t="str">
        <f>_xlfn.XLOOKUP(D487,Products!$A$2:$A$11,Products!$B$2:$B$11)</f>
        <v>Desk Lamp</v>
      </c>
      <c r="H487" s="2" t="str">
        <f>_xlfn.XLOOKUP(D487,Products!$A$2:$A$11,Products!$C$2:$C$11)</f>
        <v>Office</v>
      </c>
      <c r="I487" s="3">
        <f>_xlfn.XLOOKUP(D487,Products!$A$2:$A$11,Products!$D$2:$D$11)</f>
        <v>30</v>
      </c>
      <c r="J487" s="3" t="str">
        <f>_xlfn.XLOOKUP(C487,Customers!$A$2:$A$101,Customers!$B$2:$B$101)</f>
        <v>Customer 078</v>
      </c>
      <c r="K487" s="3" t="str">
        <f>_xlfn.XLOOKUP(C487,Customers!$A$2:$A$101,Customers!$C$2:$C$101)</f>
        <v>Leeds</v>
      </c>
      <c r="L487" s="3" t="str">
        <f>_xlfn.XLOOKUP(C487,Customers!$A$2:$A$101,Customers!$D$2:$D$101)</f>
        <v>Corporate</v>
      </c>
      <c r="M487" s="3">
        <f t="shared" si="15"/>
        <v>114</v>
      </c>
      <c r="N487" s="3">
        <f>E487*_xlfn.XLOOKUP(D487,Products!$A$2:$A$11,Products!$E$2:$E$11)</f>
        <v>60</v>
      </c>
      <c r="O487" s="3">
        <f t="shared" si="14"/>
        <v>54</v>
      </c>
    </row>
    <row r="488" spans="1:16" x14ac:dyDescent="0.3">
      <c r="A488" t="s">
        <v>598</v>
      </c>
      <c r="B488" s="1">
        <v>45940</v>
      </c>
      <c r="C488" t="s">
        <v>168</v>
      </c>
      <c r="D488" t="s">
        <v>60</v>
      </c>
      <c r="E488">
        <v>4</v>
      </c>
      <c r="F488" s="2">
        <v>0.15</v>
      </c>
      <c r="G488" s="2" t="str">
        <f>_xlfn.XLOOKUP(D488,Products!$A$2:$A$11,Products!$B$2:$B$11)</f>
        <v>Water Bottle</v>
      </c>
      <c r="H488" s="2" t="str">
        <f>_xlfn.XLOOKUP(D488,Products!$A$2:$A$11,Products!$C$2:$C$11)</f>
        <v>Lifestyle</v>
      </c>
      <c r="I488" s="3">
        <f>_xlfn.XLOOKUP(D488,Products!$A$2:$A$11,Products!$D$2:$D$11)</f>
        <v>18</v>
      </c>
      <c r="J488" s="3" t="str">
        <f>_xlfn.XLOOKUP(C488,Customers!$A$2:$A$101,Customers!$B$2:$B$101)</f>
        <v>Customer 042</v>
      </c>
      <c r="K488" s="3" t="str">
        <f>_xlfn.XLOOKUP(C488,Customers!$A$2:$A$101,Customers!$C$2:$C$101)</f>
        <v>Birmingham</v>
      </c>
      <c r="L488" s="3" t="str">
        <f>_xlfn.XLOOKUP(C488,Customers!$A$2:$A$101,Customers!$D$2:$D$101)</f>
        <v>Consumer</v>
      </c>
      <c r="M488" s="3">
        <f t="shared" si="15"/>
        <v>61.199999999999996</v>
      </c>
      <c r="N488" s="3">
        <f>E488*_xlfn.XLOOKUP(D488,Products!$A$2:$A$11,Products!$E$2:$E$11)</f>
        <v>28</v>
      </c>
      <c r="O488" s="3">
        <f t="shared" si="14"/>
        <v>33.199999999999996</v>
      </c>
    </row>
    <row r="489" spans="1:16" x14ac:dyDescent="0.3">
      <c r="A489" t="s">
        <v>599</v>
      </c>
      <c r="B489" s="1">
        <v>45931</v>
      </c>
      <c r="C489" t="s">
        <v>41</v>
      </c>
      <c r="D489" t="s">
        <v>19</v>
      </c>
      <c r="E489">
        <v>3</v>
      </c>
      <c r="F489" s="2">
        <v>0.1</v>
      </c>
      <c r="G489" s="2" t="str">
        <f>_xlfn.XLOOKUP(D489,Products!$A$2:$A$11,Products!$B$2:$B$11)</f>
        <v>Backpack</v>
      </c>
      <c r="H489" s="2" t="str">
        <f>_xlfn.XLOOKUP(D489,Products!$A$2:$A$11,Products!$C$2:$C$11)</f>
        <v>Lifestyle</v>
      </c>
      <c r="I489" s="3">
        <f>_xlfn.XLOOKUP(D489,Products!$A$2:$A$11,Products!$D$2:$D$11)</f>
        <v>55</v>
      </c>
      <c r="J489" s="3" t="str">
        <f>_xlfn.XLOOKUP(C489,Customers!$A$2:$A$101,Customers!$B$2:$B$101)</f>
        <v>Customer 084</v>
      </c>
      <c r="K489" s="3" t="str">
        <f>_xlfn.XLOOKUP(C489,Customers!$A$2:$A$101,Customers!$C$2:$C$101)</f>
        <v>Birmingham</v>
      </c>
      <c r="L489" s="3" t="str">
        <f>_xlfn.XLOOKUP(C489,Customers!$A$2:$A$101,Customers!$D$2:$D$101)</f>
        <v>Consumer</v>
      </c>
      <c r="M489" s="3">
        <f t="shared" si="15"/>
        <v>148.5</v>
      </c>
      <c r="N489" s="3">
        <f>E489*_xlfn.XLOOKUP(D489,Products!$A$2:$A$11,Products!$E$2:$E$11)</f>
        <v>81</v>
      </c>
      <c r="O489" s="3">
        <f t="shared" si="14"/>
        <v>67.5</v>
      </c>
    </row>
    <row r="490" spans="1:16" x14ac:dyDescent="0.3">
      <c r="A490" t="s">
        <v>600</v>
      </c>
      <c r="B490" s="1">
        <v>45842</v>
      </c>
      <c r="C490" t="s">
        <v>66</v>
      </c>
      <c r="D490" t="s">
        <v>33</v>
      </c>
      <c r="E490">
        <v>4</v>
      </c>
      <c r="F490" s="2">
        <v>0</v>
      </c>
      <c r="G490" s="2" t="str">
        <f>_xlfn.XLOOKUP(D490,Products!$A$2:$A$11,Products!$B$2:$B$11)</f>
        <v>Notebook Pack</v>
      </c>
      <c r="H490" s="2" t="str">
        <f>_xlfn.XLOOKUP(D490,Products!$A$2:$A$11,Products!$C$2:$C$11)</f>
        <v>Stationery</v>
      </c>
      <c r="I490" s="3">
        <f>_xlfn.XLOOKUP(D490,Products!$A$2:$A$11,Products!$D$2:$D$11)</f>
        <v>12</v>
      </c>
      <c r="J490" s="3" t="str">
        <f>_xlfn.XLOOKUP(C490,Customers!$A$2:$A$101,Customers!$B$2:$B$101)</f>
        <v>Customer 066</v>
      </c>
      <c r="K490" s="3" t="str">
        <f>_xlfn.XLOOKUP(C490,Customers!$A$2:$A$101,Customers!$C$2:$C$101)</f>
        <v>Birmingham</v>
      </c>
      <c r="L490" s="3" t="str">
        <f>_xlfn.XLOOKUP(C490,Customers!$A$2:$A$101,Customers!$D$2:$D$101)</f>
        <v>Corporate</v>
      </c>
      <c r="M490" s="3">
        <f t="shared" si="15"/>
        <v>48</v>
      </c>
      <c r="N490" s="3">
        <f>E490*_xlfn.XLOOKUP(D490,Products!$A$2:$A$11,Products!$E$2:$E$11)</f>
        <v>20</v>
      </c>
      <c r="O490" s="3">
        <f t="shared" si="14"/>
        <v>28</v>
      </c>
    </row>
    <row r="491" spans="1:16" x14ac:dyDescent="0.3">
      <c r="A491" t="s">
        <v>601</v>
      </c>
      <c r="B491" s="1">
        <v>45898</v>
      </c>
      <c r="C491" t="s">
        <v>224</v>
      </c>
      <c r="D491" t="s">
        <v>19</v>
      </c>
      <c r="E491">
        <v>2</v>
      </c>
      <c r="F491" s="2">
        <v>0.1</v>
      </c>
      <c r="G491" s="2" t="str">
        <f>_xlfn.XLOOKUP(D491,Products!$A$2:$A$11,Products!$B$2:$B$11)</f>
        <v>Backpack</v>
      </c>
      <c r="H491" s="2" t="str">
        <f>_xlfn.XLOOKUP(D491,Products!$A$2:$A$11,Products!$C$2:$C$11)</f>
        <v>Lifestyle</v>
      </c>
      <c r="I491" s="3">
        <f>_xlfn.XLOOKUP(D491,Products!$A$2:$A$11,Products!$D$2:$D$11)</f>
        <v>55</v>
      </c>
      <c r="J491" s="3" t="str">
        <f>_xlfn.XLOOKUP(C491,Customers!$A$2:$A$101,Customers!$B$2:$B$101)</f>
        <v>Customer 098</v>
      </c>
      <c r="K491" s="3" t="str">
        <f>_xlfn.XLOOKUP(C491,Customers!$A$2:$A$101,Customers!$C$2:$C$101)</f>
        <v>Leeds</v>
      </c>
      <c r="L491" s="3" t="str">
        <f>_xlfn.XLOOKUP(C491,Customers!$A$2:$A$101,Customers!$D$2:$D$101)</f>
        <v>Consumer</v>
      </c>
      <c r="M491" s="3">
        <f t="shared" si="15"/>
        <v>99</v>
      </c>
      <c r="N491" s="3">
        <f>E491*_xlfn.XLOOKUP(D491,Products!$A$2:$A$11,Products!$E$2:$E$11)</f>
        <v>54</v>
      </c>
      <c r="O491" s="3">
        <f t="shared" si="14"/>
        <v>45</v>
      </c>
    </row>
    <row r="492" spans="1:16" x14ac:dyDescent="0.3">
      <c r="A492" t="s">
        <v>602</v>
      </c>
      <c r="B492" s="1">
        <v>45818</v>
      </c>
      <c r="C492" t="s">
        <v>123</v>
      </c>
      <c r="D492" t="s">
        <v>27</v>
      </c>
      <c r="E492">
        <v>5</v>
      </c>
      <c r="F492" s="2">
        <v>0.05</v>
      </c>
      <c r="G492" s="2" t="str">
        <f>_xlfn.XLOOKUP(D492,Products!$A$2:$A$11,Products!$B$2:$B$11)</f>
        <v>Laptop Stand</v>
      </c>
      <c r="H492" s="2" t="str">
        <f>_xlfn.XLOOKUP(D492,Products!$A$2:$A$11,Products!$C$2:$C$11)</f>
        <v>Office</v>
      </c>
      <c r="I492" s="3">
        <f>_xlfn.XLOOKUP(D492,Products!$A$2:$A$11,Products!$D$2:$D$11)</f>
        <v>35</v>
      </c>
      <c r="J492" s="3" t="str">
        <f>_xlfn.XLOOKUP(C492,Customers!$A$2:$A$101,Customers!$B$2:$B$101)</f>
        <v>Customer 053</v>
      </c>
      <c r="K492" s="3" t="str">
        <f>_xlfn.XLOOKUP(C492,Customers!$A$2:$A$101,Customers!$C$2:$C$101)</f>
        <v>Sheffield</v>
      </c>
      <c r="L492" s="3" t="str">
        <f>_xlfn.XLOOKUP(C492,Customers!$A$2:$A$101,Customers!$D$2:$D$101)</f>
        <v>Small Business</v>
      </c>
      <c r="M492" s="3">
        <f t="shared" si="15"/>
        <v>166.25</v>
      </c>
      <c r="N492" s="3">
        <f>E492*_xlfn.XLOOKUP(D492,Products!$A$2:$A$11,Products!$E$2:$E$11)</f>
        <v>100</v>
      </c>
      <c r="O492" s="3">
        <f t="shared" si="14"/>
        <v>66.25</v>
      </c>
    </row>
    <row r="493" spans="1:16" x14ac:dyDescent="0.3">
      <c r="A493" t="s">
        <v>603</v>
      </c>
      <c r="B493" s="1">
        <v>45732</v>
      </c>
      <c r="C493" t="s">
        <v>204</v>
      </c>
      <c r="D493" t="s">
        <v>60</v>
      </c>
      <c r="E493">
        <v>5</v>
      </c>
      <c r="F493" s="2">
        <v>0.15</v>
      </c>
      <c r="G493" s="2" t="str">
        <f>_xlfn.XLOOKUP(D493,Products!$A$2:$A$11,Products!$B$2:$B$11)</f>
        <v>Water Bottle</v>
      </c>
      <c r="H493" s="2" t="str">
        <f>_xlfn.XLOOKUP(D493,Products!$A$2:$A$11,Products!$C$2:$C$11)</f>
        <v>Lifestyle</v>
      </c>
      <c r="I493" s="3">
        <f>_xlfn.XLOOKUP(D493,Products!$A$2:$A$11,Products!$D$2:$D$11)</f>
        <v>18</v>
      </c>
      <c r="J493" s="3" t="str">
        <f>_xlfn.XLOOKUP(C493,Customers!$A$2:$A$101,Customers!$B$2:$B$101)</f>
        <v>Customer 003</v>
      </c>
      <c r="K493" s="3" t="str">
        <f>_xlfn.XLOOKUP(C493,Customers!$A$2:$A$101,Customers!$C$2:$C$101)</f>
        <v>Birmingham</v>
      </c>
      <c r="L493" s="3" t="str">
        <f>_xlfn.XLOOKUP(C493,Customers!$A$2:$A$101,Customers!$D$2:$D$101)</f>
        <v>Consumer</v>
      </c>
      <c r="M493" s="3">
        <f t="shared" si="15"/>
        <v>76.5</v>
      </c>
      <c r="N493" s="3">
        <f>E493*_xlfn.XLOOKUP(D493,Products!$A$2:$A$11,Products!$E$2:$E$11)</f>
        <v>35</v>
      </c>
      <c r="O493" s="3">
        <f t="shared" si="14"/>
        <v>41.5</v>
      </c>
    </row>
    <row r="494" spans="1:16" x14ac:dyDescent="0.3">
      <c r="A494" t="s">
        <v>604</v>
      </c>
      <c r="B494" s="1">
        <v>45809</v>
      </c>
      <c r="C494" t="s">
        <v>363</v>
      </c>
      <c r="D494" t="s">
        <v>22</v>
      </c>
      <c r="E494">
        <v>3</v>
      </c>
      <c r="F494" s="2">
        <v>0.05</v>
      </c>
      <c r="G494" s="2" t="str">
        <f>_xlfn.XLOOKUP(D494,Products!$A$2:$A$11,Products!$B$2:$B$11)</f>
        <v>Desk Lamp</v>
      </c>
      <c r="H494" s="2" t="str">
        <f>_xlfn.XLOOKUP(D494,Products!$A$2:$A$11,Products!$C$2:$C$11)</f>
        <v>Office</v>
      </c>
      <c r="I494" s="3">
        <f>_xlfn.XLOOKUP(D494,Products!$A$2:$A$11,Products!$D$2:$D$11)</f>
        <v>30</v>
      </c>
      <c r="J494" s="3" t="str">
        <f>_xlfn.XLOOKUP(C494,Customers!$A$2:$A$101,Customers!$B$2:$B$101)</f>
        <v>Customer 020</v>
      </c>
      <c r="K494" s="3" t="str">
        <f>_xlfn.XLOOKUP(C494,Customers!$A$2:$A$101,Customers!$C$2:$C$101)</f>
        <v>Leeds</v>
      </c>
      <c r="L494" s="3" t="str">
        <f>_xlfn.XLOOKUP(C494,Customers!$A$2:$A$101,Customers!$D$2:$D$101)</f>
        <v>Small Business</v>
      </c>
      <c r="M494" s="3">
        <f t="shared" si="15"/>
        <v>85.5</v>
      </c>
      <c r="N494" s="3">
        <f>E494*_xlfn.XLOOKUP(D494,Products!$A$2:$A$11,Products!$E$2:$E$11)</f>
        <v>45</v>
      </c>
      <c r="O494" s="3">
        <f t="shared" si="14"/>
        <v>40.5</v>
      </c>
    </row>
    <row r="495" spans="1:16" x14ac:dyDescent="0.3">
      <c r="A495" t="s">
        <v>605</v>
      </c>
      <c r="B495" s="1">
        <v>45852</v>
      </c>
      <c r="C495" t="s">
        <v>196</v>
      </c>
      <c r="D495" t="s">
        <v>22</v>
      </c>
      <c r="E495">
        <v>4</v>
      </c>
      <c r="F495" s="2">
        <v>0.1</v>
      </c>
      <c r="G495" s="2" t="str">
        <f>_xlfn.XLOOKUP(D495,Products!$A$2:$A$11,Products!$B$2:$B$11)</f>
        <v>Desk Lamp</v>
      </c>
      <c r="H495" s="2" t="str">
        <f>_xlfn.XLOOKUP(D495,Products!$A$2:$A$11,Products!$C$2:$C$11)</f>
        <v>Office</v>
      </c>
      <c r="I495" s="3">
        <f>_xlfn.XLOOKUP(D495,Products!$A$2:$A$11,Products!$D$2:$D$11)</f>
        <v>30</v>
      </c>
      <c r="J495" s="3" t="str">
        <f>_xlfn.XLOOKUP(C495,Customers!$A$2:$A$101,Customers!$B$2:$B$101)</f>
        <v>Customer 073</v>
      </c>
      <c r="K495" s="3" t="str">
        <f>_xlfn.XLOOKUP(C495,Customers!$A$2:$A$101,Customers!$C$2:$C$101)</f>
        <v>Manchester</v>
      </c>
      <c r="L495" s="3" t="str">
        <f>_xlfn.XLOOKUP(C495,Customers!$A$2:$A$101,Customers!$D$2:$D$101)</f>
        <v>Corporate</v>
      </c>
      <c r="M495" s="3">
        <f t="shared" si="15"/>
        <v>108</v>
      </c>
      <c r="N495" s="3">
        <f>E495*_xlfn.XLOOKUP(D495,Products!$A$2:$A$11,Products!$E$2:$E$11)</f>
        <v>60</v>
      </c>
      <c r="O495" s="3">
        <f t="shared" si="14"/>
        <v>48</v>
      </c>
    </row>
    <row r="496" spans="1:16" x14ac:dyDescent="0.3">
      <c r="A496" t="s">
        <v>606</v>
      </c>
      <c r="B496" s="1">
        <v>45789</v>
      </c>
      <c r="C496" t="s">
        <v>224</v>
      </c>
      <c r="D496" t="s">
        <v>33</v>
      </c>
      <c r="E496">
        <v>4</v>
      </c>
      <c r="F496" s="2">
        <v>0.15</v>
      </c>
      <c r="G496" s="2" t="str">
        <f>_xlfn.XLOOKUP(D496,Products!$A$2:$A$11,Products!$B$2:$B$11)</f>
        <v>Notebook Pack</v>
      </c>
      <c r="H496" s="2" t="str">
        <f>_xlfn.XLOOKUP(D496,Products!$A$2:$A$11,Products!$C$2:$C$11)</f>
        <v>Stationery</v>
      </c>
      <c r="I496" s="3">
        <f>_xlfn.XLOOKUP(D496,Products!$A$2:$A$11,Products!$D$2:$D$11)</f>
        <v>12</v>
      </c>
      <c r="J496" s="3" t="str">
        <f>_xlfn.XLOOKUP(C496,Customers!$A$2:$A$101,Customers!$B$2:$B$101)</f>
        <v>Customer 098</v>
      </c>
      <c r="K496" s="3" t="str">
        <f>_xlfn.XLOOKUP(C496,Customers!$A$2:$A$101,Customers!$C$2:$C$101)</f>
        <v>Leeds</v>
      </c>
      <c r="L496" s="3" t="str">
        <f>_xlfn.XLOOKUP(C496,Customers!$A$2:$A$101,Customers!$D$2:$D$101)</f>
        <v>Consumer</v>
      </c>
      <c r="M496" s="3">
        <f t="shared" si="15"/>
        <v>40.799999999999997</v>
      </c>
      <c r="N496" s="3">
        <f>E496*_xlfn.XLOOKUP(D496,Products!$A$2:$A$11,Products!$E$2:$E$11)</f>
        <v>20</v>
      </c>
      <c r="O496" s="3">
        <f t="shared" si="14"/>
        <v>20.799999999999997</v>
      </c>
      <c r="P496" s="3"/>
    </row>
    <row r="497" spans="1:15" x14ac:dyDescent="0.3">
      <c r="A497" t="s">
        <v>607</v>
      </c>
      <c r="B497" s="1">
        <v>45744</v>
      </c>
      <c r="C497" t="s">
        <v>191</v>
      </c>
      <c r="D497" t="s">
        <v>19</v>
      </c>
      <c r="E497">
        <v>2</v>
      </c>
      <c r="F497" s="2">
        <v>0.05</v>
      </c>
      <c r="G497" s="2" t="str">
        <f>_xlfn.XLOOKUP(D497,Products!$A$2:$A$11,Products!$B$2:$B$11)</f>
        <v>Backpack</v>
      </c>
      <c r="H497" s="2" t="str">
        <f>_xlfn.XLOOKUP(D497,Products!$A$2:$A$11,Products!$C$2:$C$11)</f>
        <v>Lifestyle</v>
      </c>
      <c r="I497" s="3">
        <f>_xlfn.XLOOKUP(D497,Products!$A$2:$A$11,Products!$D$2:$D$11)</f>
        <v>55</v>
      </c>
      <c r="J497" s="3" t="str">
        <f>_xlfn.XLOOKUP(C497,Customers!$A$2:$A$101,Customers!$B$2:$B$101)</f>
        <v>Customer 094</v>
      </c>
      <c r="K497" s="3" t="str">
        <f>_xlfn.XLOOKUP(C497,Customers!$A$2:$A$101,Customers!$C$2:$C$101)</f>
        <v>Manchester</v>
      </c>
      <c r="L497" s="3" t="str">
        <f>_xlfn.XLOOKUP(C497,Customers!$A$2:$A$101,Customers!$D$2:$D$101)</f>
        <v>Small Business</v>
      </c>
      <c r="M497" s="3">
        <f t="shared" si="15"/>
        <v>104.5</v>
      </c>
      <c r="N497" s="3">
        <f>E497*_xlfn.XLOOKUP(D497,Products!$A$2:$A$11,Products!$E$2:$E$11)</f>
        <v>54</v>
      </c>
      <c r="O497" s="3">
        <f t="shared" si="14"/>
        <v>50.5</v>
      </c>
    </row>
    <row r="498" spans="1:15" x14ac:dyDescent="0.3">
      <c r="A498" t="s">
        <v>608</v>
      </c>
      <c r="B498" s="1">
        <v>45937</v>
      </c>
      <c r="C498" t="s">
        <v>609</v>
      </c>
      <c r="D498" t="s">
        <v>46</v>
      </c>
      <c r="E498">
        <v>5</v>
      </c>
      <c r="F498" s="2">
        <v>0</v>
      </c>
      <c r="G498" s="2" t="str">
        <f>_xlfn.XLOOKUP(D498,Products!$A$2:$A$11,Products!$B$2:$B$11)</f>
        <v>Keyboard</v>
      </c>
      <c r="H498" s="2" t="str">
        <f>_xlfn.XLOOKUP(D498,Products!$A$2:$A$11,Products!$C$2:$C$11)</f>
        <v>Electronics</v>
      </c>
      <c r="I498" s="3">
        <f>_xlfn.XLOOKUP(D498,Products!$A$2:$A$11,Products!$D$2:$D$11)</f>
        <v>45</v>
      </c>
      <c r="J498" s="3" t="str">
        <f>_xlfn.XLOOKUP(C498,Customers!$A$2:$A$101,Customers!$B$2:$B$101)</f>
        <v>Customer 063</v>
      </c>
      <c r="K498" s="3" t="str">
        <f>_xlfn.XLOOKUP(C498,Customers!$A$2:$A$101,Customers!$C$2:$C$101)</f>
        <v>Birmingham</v>
      </c>
      <c r="L498" s="3" t="str">
        <f>_xlfn.XLOOKUP(C498,Customers!$A$2:$A$101,Customers!$D$2:$D$101)</f>
        <v>Consumer</v>
      </c>
      <c r="M498" s="3">
        <f t="shared" si="15"/>
        <v>225</v>
      </c>
      <c r="N498" s="3">
        <f>E498*_xlfn.XLOOKUP(D498,Products!$A$2:$A$11,Products!$E$2:$E$11)</f>
        <v>110</v>
      </c>
      <c r="O498" s="3">
        <f t="shared" si="14"/>
        <v>115</v>
      </c>
    </row>
    <row r="499" spans="1:15" x14ac:dyDescent="0.3">
      <c r="A499" t="s">
        <v>610</v>
      </c>
      <c r="B499" s="1">
        <v>45926</v>
      </c>
      <c r="C499" t="s">
        <v>96</v>
      </c>
      <c r="D499" t="s">
        <v>30</v>
      </c>
      <c r="E499">
        <v>1</v>
      </c>
      <c r="F499" s="2">
        <v>0</v>
      </c>
      <c r="G499" s="2" t="str">
        <f>_xlfn.XLOOKUP(D499,Products!$A$2:$A$11,Products!$B$2:$B$11)</f>
        <v>Wireless Mouse</v>
      </c>
      <c r="H499" s="2" t="str">
        <f>_xlfn.XLOOKUP(D499,Products!$A$2:$A$11,Products!$C$2:$C$11)</f>
        <v>Electronics</v>
      </c>
      <c r="I499" s="3">
        <f>_xlfn.XLOOKUP(D499,Products!$A$2:$A$11,Products!$D$2:$D$11)</f>
        <v>25</v>
      </c>
      <c r="J499" s="3" t="str">
        <f>_xlfn.XLOOKUP(C499,Customers!$A$2:$A$101,Customers!$B$2:$B$101)</f>
        <v>Customer 005</v>
      </c>
      <c r="K499" s="3" t="str">
        <f>_xlfn.XLOOKUP(C499,Customers!$A$2:$A$101,Customers!$C$2:$C$101)</f>
        <v>Sheffield</v>
      </c>
      <c r="L499" s="3" t="str">
        <f>_xlfn.XLOOKUP(C499,Customers!$A$2:$A$101,Customers!$D$2:$D$101)</f>
        <v>Consumer</v>
      </c>
      <c r="M499" s="3">
        <f t="shared" si="15"/>
        <v>25</v>
      </c>
      <c r="N499" s="3">
        <f>E499*_xlfn.XLOOKUP(D499,Products!$A$2:$A$11,Products!$E$2:$E$11)</f>
        <v>12</v>
      </c>
      <c r="O499" s="3">
        <f t="shared" si="14"/>
        <v>13</v>
      </c>
    </row>
    <row r="500" spans="1:15" x14ac:dyDescent="0.3">
      <c r="A500" t="s">
        <v>611</v>
      </c>
      <c r="B500" s="1">
        <v>45869</v>
      </c>
      <c r="C500" t="s">
        <v>315</v>
      </c>
      <c r="D500" t="s">
        <v>22</v>
      </c>
      <c r="E500">
        <v>1</v>
      </c>
      <c r="F500" s="2">
        <v>0.05</v>
      </c>
      <c r="G500" s="2" t="str">
        <f>_xlfn.XLOOKUP(D500,Products!$A$2:$A$11,Products!$B$2:$B$11)</f>
        <v>Desk Lamp</v>
      </c>
      <c r="H500" s="2" t="str">
        <f>_xlfn.XLOOKUP(D500,Products!$A$2:$A$11,Products!$C$2:$C$11)</f>
        <v>Office</v>
      </c>
      <c r="I500" s="3">
        <f>_xlfn.XLOOKUP(D500,Products!$A$2:$A$11,Products!$D$2:$D$11)</f>
        <v>30</v>
      </c>
      <c r="J500" s="3" t="str">
        <f>_xlfn.XLOOKUP(C500,Customers!$A$2:$A$101,Customers!$B$2:$B$101)</f>
        <v>Customer 018</v>
      </c>
      <c r="K500" s="3" t="str">
        <f>_xlfn.XLOOKUP(C500,Customers!$A$2:$A$101,Customers!$C$2:$C$101)</f>
        <v>Birmingham</v>
      </c>
      <c r="L500" s="3" t="str">
        <f>_xlfn.XLOOKUP(C500,Customers!$A$2:$A$101,Customers!$D$2:$D$101)</f>
        <v>Consumer</v>
      </c>
      <c r="M500" s="3">
        <f t="shared" si="15"/>
        <v>28.5</v>
      </c>
      <c r="N500" s="3">
        <f>E500*_xlfn.XLOOKUP(D500,Products!$A$2:$A$11,Products!$E$2:$E$11)</f>
        <v>15</v>
      </c>
      <c r="O500" s="3">
        <f t="shared" si="14"/>
        <v>13.5</v>
      </c>
    </row>
    <row r="501" spans="1:15" x14ac:dyDescent="0.3">
      <c r="A501" t="s">
        <v>612</v>
      </c>
      <c r="B501" s="1">
        <v>45662</v>
      </c>
      <c r="C501" t="s">
        <v>371</v>
      </c>
      <c r="D501" t="s">
        <v>11</v>
      </c>
      <c r="E501">
        <v>4</v>
      </c>
      <c r="F501" s="2">
        <v>0.1</v>
      </c>
      <c r="G501" s="2" t="str">
        <f>_xlfn.XLOOKUP(D501,Products!$A$2:$A$11,Products!$B$2:$B$11)</f>
        <v>Office Chair</v>
      </c>
      <c r="H501" s="2" t="str">
        <f>_xlfn.XLOOKUP(D501,Products!$A$2:$A$11,Products!$C$2:$C$11)</f>
        <v>Office</v>
      </c>
      <c r="I501" s="3">
        <f>_xlfn.XLOOKUP(D501,Products!$A$2:$A$11,Products!$D$2:$D$11)</f>
        <v>180</v>
      </c>
      <c r="J501" s="3" t="str">
        <f>_xlfn.XLOOKUP(C501,Customers!$A$2:$A$101,Customers!$B$2:$B$101)</f>
        <v>Customer 028</v>
      </c>
      <c r="K501" s="3" t="str">
        <f>_xlfn.XLOOKUP(C501,Customers!$A$2:$A$101,Customers!$C$2:$C$101)</f>
        <v>Leeds</v>
      </c>
      <c r="L501" s="3" t="str">
        <f>_xlfn.XLOOKUP(C501,Customers!$A$2:$A$101,Customers!$D$2:$D$101)</f>
        <v>Corporate</v>
      </c>
      <c r="M501" s="3">
        <f t="shared" si="15"/>
        <v>648</v>
      </c>
      <c r="N501" s="3">
        <f>E501*_xlfn.XLOOKUP(D501,Products!$A$2:$A$11,Products!$E$2:$E$11)</f>
        <v>420</v>
      </c>
      <c r="O501" s="3">
        <f t="shared" si="14"/>
        <v>228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13" customWidth="1"/>
    <col min="4" max="4" width="12" customWidth="1"/>
    <col min="5" max="5" width="11" customWidth="1"/>
  </cols>
  <sheetData>
    <row r="1" spans="1:5" x14ac:dyDescent="0.3">
      <c r="A1" t="s">
        <v>3</v>
      </c>
      <c r="B1" t="s">
        <v>613</v>
      </c>
      <c r="C1" t="s">
        <v>614</v>
      </c>
      <c r="D1" t="s">
        <v>615</v>
      </c>
      <c r="E1" t="s">
        <v>616</v>
      </c>
    </row>
    <row r="2" spans="1:5" x14ac:dyDescent="0.3">
      <c r="A2" t="s">
        <v>27</v>
      </c>
      <c r="B2" t="s">
        <v>617</v>
      </c>
      <c r="C2" t="s">
        <v>618</v>
      </c>
      <c r="D2">
        <v>35</v>
      </c>
      <c r="E2">
        <v>20</v>
      </c>
    </row>
    <row r="3" spans="1:5" x14ac:dyDescent="0.3">
      <c r="A3" t="s">
        <v>30</v>
      </c>
      <c r="B3" t="s">
        <v>619</v>
      </c>
      <c r="C3" t="s">
        <v>620</v>
      </c>
      <c r="D3">
        <v>25</v>
      </c>
      <c r="E3">
        <v>12</v>
      </c>
    </row>
    <row r="4" spans="1:5" x14ac:dyDescent="0.3">
      <c r="A4" t="s">
        <v>46</v>
      </c>
      <c r="B4" t="s">
        <v>621</v>
      </c>
      <c r="C4" t="s">
        <v>620</v>
      </c>
      <c r="D4">
        <v>45</v>
      </c>
      <c r="E4">
        <v>22</v>
      </c>
    </row>
    <row r="5" spans="1:5" x14ac:dyDescent="0.3">
      <c r="A5" t="s">
        <v>22</v>
      </c>
      <c r="B5" t="s">
        <v>622</v>
      </c>
      <c r="C5" t="s">
        <v>618</v>
      </c>
      <c r="D5">
        <v>30</v>
      </c>
      <c r="E5">
        <v>15</v>
      </c>
    </row>
    <row r="6" spans="1:5" x14ac:dyDescent="0.3">
      <c r="A6" t="s">
        <v>60</v>
      </c>
      <c r="B6" t="s">
        <v>623</v>
      </c>
      <c r="C6" t="s">
        <v>624</v>
      </c>
      <c r="D6">
        <v>18</v>
      </c>
      <c r="E6">
        <v>7</v>
      </c>
    </row>
    <row r="7" spans="1:5" x14ac:dyDescent="0.3">
      <c r="A7" t="s">
        <v>19</v>
      </c>
      <c r="B7" t="s">
        <v>625</v>
      </c>
      <c r="C7" t="s">
        <v>624</v>
      </c>
      <c r="D7">
        <v>55</v>
      </c>
      <c r="E7">
        <v>27</v>
      </c>
    </row>
    <row r="8" spans="1:5" x14ac:dyDescent="0.3">
      <c r="A8" t="s">
        <v>16</v>
      </c>
      <c r="B8" t="s">
        <v>626</v>
      </c>
      <c r="C8" t="s">
        <v>620</v>
      </c>
      <c r="D8">
        <v>75</v>
      </c>
      <c r="E8">
        <v>40</v>
      </c>
    </row>
    <row r="9" spans="1:5" x14ac:dyDescent="0.3">
      <c r="A9" t="s">
        <v>33</v>
      </c>
      <c r="B9" t="s">
        <v>627</v>
      </c>
      <c r="C9" t="s">
        <v>628</v>
      </c>
      <c r="D9">
        <v>12</v>
      </c>
      <c r="E9">
        <v>5</v>
      </c>
    </row>
    <row r="10" spans="1:5" x14ac:dyDescent="0.3">
      <c r="A10" t="s">
        <v>11</v>
      </c>
      <c r="B10" t="s">
        <v>629</v>
      </c>
      <c r="C10" t="s">
        <v>618</v>
      </c>
      <c r="D10">
        <v>180</v>
      </c>
      <c r="E10">
        <v>105</v>
      </c>
    </row>
    <row r="11" spans="1:5" x14ac:dyDescent="0.3">
      <c r="A11" t="s">
        <v>8</v>
      </c>
      <c r="B11" t="s">
        <v>630</v>
      </c>
      <c r="C11" t="s">
        <v>620</v>
      </c>
      <c r="D11">
        <v>40</v>
      </c>
      <c r="E11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2" customWidth="1"/>
    <col min="4" max="4" width="18" customWidth="1"/>
  </cols>
  <sheetData>
    <row r="1" spans="1:4" x14ac:dyDescent="0.3">
      <c r="A1" t="s">
        <v>2</v>
      </c>
      <c r="B1" t="s">
        <v>631</v>
      </c>
      <c r="C1" t="s">
        <v>632</v>
      </c>
      <c r="D1" t="s">
        <v>633</v>
      </c>
    </row>
    <row r="2" spans="1:4" x14ac:dyDescent="0.3">
      <c r="A2" t="s">
        <v>92</v>
      </c>
      <c r="B2" t="s">
        <v>634</v>
      </c>
      <c r="C2" t="s">
        <v>635</v>
      </c>
      <c r="D2" t="s">
        <v>636</v>
      </c>
    </row>
    <row r="3" spans="1:4" x14ac:dyDescent="0.3">
      <c r="A3" t="s">
        <v>76</v>
      </c>
      <c r="B3" t="s">
        <v>637</v>
      </c>
      <c r="C3" t="s">
        <v>638</v>
      </c>
      <c r="D3" t="s">
        <v>639</v>
      </c>
    </row>
    <row r="4" spans="1:4" x14ac:dyDescent="0.3">
      <c r="A4" t="s">
        <v>204</v>
      </c>
      <c r="B4" t="s">
        <v>640</v>
      </c>
      <c r="C4" t="s">
        <v>641</v>
      </c>
      <c r="D4" t="s">
        <v>636</v>
      </c>
    </row>
    <row r="5" spans="1:4" x14ac:dyDescent="0.3">
      <c r="A5" t="s">
        <v>642</v>
      </c>
      <c r="B5" t="s">
        <v>643</v>
      </c>
      <c r="C5" t="s">
        <v>644</v>
      </c>
      <c r="D5" t="s">
        <v>636</v>
      </c>
    </row>
    <row r="6" spans="1:4" x14ac:dyDescent="0.3">
      <c r="A6" t="s">
        <v>96</v>
      </c>
      <c r="B6" t="s">
        <v>645</v>
      </c>
      <c r="C6" t="s">
        <v>635</v>
      </c>
      <c r="D6" t="s">
        <v>636</v>
      </c>
    </row>
    <row r="7" spans="1:4" x14ac:dyDescent="0.3">
      <c r="A7" t="s">
        <v>173</v>
      </c>
      <c r="B7" t="s">
        <v>646</v>
      </c>
      <c r="C7" t="s">
        <v>635</v>
      </c>
      <c r="D7" t="s">
        <v>639</v>
      </c>
    </row>
    <row r="8" spans="1:4" x14ac:dyDescent="0.3">
      <c r="A8" t="s">
        <v>64</v>
      </c>
      <c r="B8" t="s">
        <v>647</v>
      </c>
      <c r="C8" t="s">
        <v>648</v>
      </c>
      <c r="D8" t="s">
        <v>636</v>
      </c>
    </row>
    <row r="9" spans="1:4" x14ac:dyDescent="0.3">
      <c r="A9" t="s">
        <v>154</v>
      </c>
      <c r="B9" t="s">
        <v>649</v>
      </c>
      <c r="C9" t="s">
        <v>648</v>
      </c>
      <c r="D9" t="s">
        <v>650</v>
      </c>
    </row>
    <row r="10" spans="1:4" x14ac:dyDescent="0.3">
      <c r="A10" t="s">
        <v>10</v>
      </c>
      <c r="B10" t="s">
        <v>651</v>
      </c>
      <c r="C10" t="s">
        <v>638</v>
      </c>
      <c r="D10" t="s">
        <v>636</v>
      </c>
    </row>
    <row r="11" spans="1:4" x14ac:dyDescent="0.3">
      <c r="A11" t="s">
        <v>26</v>
      </c>
      <c r="B11" t="s">
        <v>652</v>
      </c>
      <c r="C11" t="s">
        <v>638</v>
      </c>
      <c r="D11" t="s">
        <v>636</v>
      </c>
    </row>
    <row r="12" spans="1:4" x14ac:dyDescent="0.3">
      <c r="A12" t="s">
        <v>70</v>
      </c>
      <c r="B12" t="s">
        <v>653</v>
      </c>
      <c r="C12" t="s">
        <v>644</v>
      </c>
      <c r="D12" t="s">
        <v>639</v>
      </c>
    </row>
    <row r="13" spans="1:4" x14ac:dyDescent="0.3">
      <c r="A13" t="s">
        <v>194</v>
      </c>
      <c r="B13" t="s">
        <v>654</v>
      </c>
      <c r="C13" t="s">
        <v>648</v>
      </c>
      <c r="D13" t="s">
        <v>636</v>
      </c>
    </row>
    <row r="14" spans="1:4" x14ac:dyDescent="0.3">
      <c r="A14" t="s">
        <v>50</v>
      </c>
      <c r="B14" t="s">
        <v>655</v>
      </c>
      <c r="C14" t="s">
        <v>648</v>
      </c>
      <c r="D14" t="s">
        <v>636</v>
      </c>
    </row>
    <row r="15" spans="1:4" x14ac:dyDescent="0.3">
      <c r="A15" t="s">
        <v>43</v>
      </c>
      <c r="B15" t="s">
        <v>656</v>
      </c>
      <c r="C15" t="s">
        <v>635</v>
      </c>
      <c r="D15" t="s">
        <v>639</v>
      </c>
    </row>
    <row r="16" spans="1:4" x14ac:dyDescent="0.3">
      <c r="A16" t="s">
        <v>113</v>
      </c>
      <c r="B16" t="s">
        <v>657</v>
      </c>
      <c r="C16" t="s">
        <v>635</v>
      </c>
      <c r="D16" t="s">
        <v>639</v>
      </c>
    </row>
    <row r="17" spans="1:4" x14ac:dyDescent="0.3">
      <c r="A17" t="s">
        <v>121</v>
      </c>
      <c r="B17" t="s">
        <v>658</v>
      </c>
      <c r="C17" t="s">
        <v>659</v>
      </c>
      <c r="D17" t="s">
        <v>636</v>
      </c>
    </row>
    <row r="18" spans="1:4" x14ac:dyDescent="0.3">
      <c r="A18" t="s">
        <v>74</v>
      </c>
      <c r="B18" t="s">
        <v>660</v>
      </c>
      <c r="C18" t="s">
        <v>659</v>
      </c>
      <c r="D18" t="s">
        <v>639</v>
      </c>
    </row>
    <row r="19" spans="1:4" x14ac:dyDescent="0.3">
      <c r="A19" t="s">
        <v>315</v>
      </c>
      <c r="B19" t="s">
        <v>661</v>
      </c>
      <c r="C19" t="s">
        <v>641</v>
      </c>
      <c r="D19" t="s">
        <v>636</v>
      </c>
    </row>
    <row r="20" spans="1:4" x14ac:dyDescent="0.3">
      <c r="A20" t="s">
        <v>135</v>
      </c>
      <c r="B20" t="s">
        <v>662</v>
      </c>
      <c r="C20" t="s">
        <v>644</v>
      </c>
      <c r="D20" t="s">
        <v>639</v>
      </c>
    </row>
    <row r="21" spans="1:4" x14ac:dyDescent="0.3">
      <c r="A21" t="s">
        <v>363</v>
      </c>
      <c r="B21" t="s">
        <v>663</v>
      </c>
      <c r="C21" t="s">
        <v>659</v>
      </c>
      <c r="D21" t="s">
        <v>650</v>
      </c>
    </row>
    <row r="22" spans="1:4" x14ac:dyDescent="0.3">
      <c r="A22" t="s">
        <v>82</v>
      </c>
      <c r="B22" t="s">
        <v>664</v>
      </c>
      <c r="C22" t="s">
        <v>641</v>
      </c>
      <c r="D22" t="s">
        <v>636</v>
      </c>
    </row>
    <row r="23" spans="1:4" x14ac:dyDescent="0.3">
      <c r="A23" t="s">
        <v>665</v>
      </c>
      <c r="B23" t="s">
        <v>666</v>
      </c>
      <c r="C23" t="s">
        <v>644</v>
      </c>
      <c r="D23" t="s">
        <v>650</v>
      </c>
    </row>
    <row r="24" spans="1:4" x14ac:dyDescent="0.3">
      <c r="A24" t="s">
        <v>442</v>
      </c>
      <c r="B24" t="s">
        <v>667</v>
      </c>
      <c r="C24" t="s">
        <v>638</v>
      </c>
      <c r="D24" t="s">
        <v>636</v>
      </c>
    </row>
    <row r="25" spans="1:4" x14ac:dyDescent="0.3">
      <c r="A25" t="s">
        <v>218</v>
      </c>
      <c r="B25" t="s">
        <v>668</v>
      </c>
      <c r="C25" t="s">
        <v>659</v>
      </c>
      <c r="D25" t="s">
        <v>636</v>
      </c>
    </row>
    <row r="26" spans="1:4" x14ac:dyDescent="0.3">
      <c r="A26" t="s">
        <v>37</v>
      </c>
      <c r="B26" t="s">
        <v>669</v>
      </c>
      <c r="C26" t="s">
        <v>641</v>
      </c>
      <c r="D26" t="s">
        <v>650</v>
      </c>
    </row>
    <row r="27" spans="1:4" x14ac:dyDescent="0.3">
      <c r="A27" t="s">
        <v>302</v>
      </c>
      <c r="B27" t="s">
        <v>670</v>
      </c>
      <c r="C27" t="s">
        <v>648</v>
      </c>
      <c r="D27" t="s">
        <v>650</v>
      </c>
    </row>
    <row r="28" spans="1:4" x14ac:dyDescent="0.3">
      <c r="A28" t="s">
        <v>72</v>
      </c>
      <c r="B28" t="s">
        <v>671</v>
      </c>
      <c r="C28" t="s">
        <v>638</v>
      </c>
      <c r="D28" t="s">
        <v>639</v>
      </c>
    </row>
    <row r="29" spans="1:4" x14ac:dyDescent="0.3">
      <c r="A29" t="s">
        <v>371</v>
      </c>
      <c r="B29" t="s">
        <v>672</v>
      </c>
      <c r="C29" t="s">
        <v>659</v>
      </c>
      <c r="D29" t="s">
        <v>639</v>
      </c>
    </row>
    <row r="30" spans="1:4" x14ac:dyDescent="0.3">
      <c r="A30" t="s">
        <v>106</v>
      </c>
      <c r="B30" t="s">
        <v>673</v>
      </c>
      <c r="C30" t="s">
        <v>638</v>
      </c>
      <c r="D30" t="s">
        <v>650</v>
      </c>
    </row>
    <row r="31" spans="1:4" x14ac:dyDescent="0.3">
      <c r="A31" t="s">
        <v>108</v>
      </c>
      <c r="B31" t="s">
        <v>674</v>
      </c>
      <c r="C31" t="s">
        <v>638</v>
      </c>
      <c r="D31" t="s">
        <v>639</v>
      </c>
    </row>
    <row r="32" spans="1:4" x14ac:dyDescent="0.3">
      <c r="A32" t="s">
        <v>7</v>
      </c>
      <c r="B32" t="s">
        <v>675</v>
      </c>
      <c r="C32" t="s">
        <v>641</v>
      </c>
      <c r="D32" t="s">
        <v>639</v>
      </c>
    </row>
    <row r="33" spans="1:4" x14ac:dyDescent="0.3">
      <c r="A33" t="s">
        <v>21</v>
      </c>
      <c r="B33" t="s">
        <v>676</v>
      </c>
      <c r="C33" t="s">
        <v>648</v>
      </c>
      <c r="D33" t="s">
        <v>650</v>
      </c>
    </row>
    <row r="34" spans="1:4" x14ac:dyDescent="0.3">
      <c r="A34" t="s">
        <v>170</v>
      </c>
      <c r="B34" t="s">
        <v>677</v>
      </c>
      <c r="C34" t="s">
        <v>648</v>
      </c>
      <c r="D34" t="s">
        <v>636</v>
      </c>
    </row>
    <row r="35" spans="1:4" x14ac:dyDescent="0.3">
      <c r="A35" t="s">
        <v>166</v>
      </c>
      <c r="B35" t="s">
        <v>678</v>
      </c>
      <c r="C35" t="s">
        <v>635</v>
      </c>
      <c r="D35" t="s">
        <v>636</v>
      </c>
    </row>
    <row r="36" spans="1:4" x14ac:dyDescent="0.3">
      <c r="A36" t="s">
        <v>244</v>
      </c>
      <c r="B36" t="s">
        <v>679</v>
      </c>
      <c r="C36" t="s">
        <v>638</v>
      </c>
      <c r="D36" t="s">
        <v>639</v>
      </c>
    </row>
    <row r="37" spans="1:4" x14ac:dyDescent="0.3">
      <c r="A37" t="s">
        <v>265</v>
      </c>
      <c r="B37" t="s">
        <v>680</v>
      </c>
      <c r="C37" t="s">
        <v>644</v>
      </c>
      <c r="D37" t="s">
        <v>650</v>
      </c>
    </row>
    <row r="38" spans="1:4" x14ac:dyDescent="0.3">
      <c r="A38" t="s">
        <v>58</v>
      </c>
      <c r="B38" t="s">
        <v>681</v>
      </c>
      <c r="C38" t="s">
        <v>638</v>
      </c>
      <c r="D38" t="s">
        <v>636</v>
      </c>
    </row>
    <row r="39" spans="1:4" x14ac:dyDescent="0.3">
      <c r="A39" t="s">
        <v>306</v>
      </c>
      <c r="B39" t="s">
        <v>682</v>
      </c>
      <c r="C39" t="s">
        <v>638</v>
      </c>
      <c r="D39" t="s">
        <v>650</v>
      </c>
    </row>
    <row r="40" spans="1:4" x14ac:dyDescent="0.3">
      <c r="A40" t="s">
        <v>213</v>
      </c>
      <c r="B40" t="s">
        <v>683</v>
      </c>
      <c r="C40" t="s">
        <v>641</v>
      </c>
      <c r="D40" t="s">
        <v>650</v>
      </c>
    </row>
    <row r="41" spans="1:4" x14ac:dyDescent="0.3">
      <c r="A41" t="s">
        <v>361</v>
      </c>
      <c r="B41" t="s">
        <v>684</v>
      </c>
      <c r="C41" t="s">
        <v>635</v>
      </c>
      <c r="D41" t="s">
        <v>650</v>
      </c>
    </row>
    <row r="42" spans="1:4" x14ac:dyDescent="0.3">
      <c r="A42" t="s">
        <v>252</v>
      </c>
      <c r="B42" t="s">
        <v>685</v>
      </c>
      <c r="C42" t="s">
        <v>644</v>
      </c>
      <c r="D42" t="s">
        <v>650</v>
      </c>
    </row>
    <row r="43" spans="1:4" x14ac:dyDescent="0.3">
      <c r="A43" t="s">
        <v>168</v>
      </c>
      <c r="B43" t="s">
        <v>686</v>
      </c>
      <c r="C43" t="s">
        <v>641</v>
      </c>
      <c r="D43" t="s">
        <v>636</v>
      </c>
    </row>
    <row r="44" spans="1:4" x14ac:dyDescent="0.3">
      <c r="A44" t="s">
        <v>29</v>
      </c>
      <c r="B44" t="s">
        <v>687</v>
      </c>
      <c r="C44" t="s">
        <v>635</v>
      </c>
      <c r="D44" t="s">
        <v>650</v>
      </c>
    </row>
    <row r="45" spans="1:4" x14ac:dyDescent="0.3">
      <c r="A45" t="s">
        <v>411</v>
      </c>
      <c r="B45" t="s">
        <v>688</v>
      </c>
      <c r="C45" t="s">
        <v>635</v>
      </c>
      <c r="D45" t="s">
        <v>639</v>
      </c>
    </row>
    <row r="46" spans="1:4" x14ac:dyDescent="0.3">
      <c r="A46" t="s">
        <v>80</v>
      </c>
      <c r="B46" t="s">
        <v>689</v>
      </c>
      <c r="C46" t="s">
        <v>635</v>
      </c>
      <c r="D46" t="s">
        <v>636</v>
      </c>
    </row>
    <row r="47" spans="1:4" x14ac:dyDescent="0.3">
      <c r="A47" t="s">
        <v>99</v>
      </c>
      <c r="B47" t="s">
        <v>690</v>
      </c>
      <c r="C47" t="s">
        <v>648</v>
      </c>
      <c r="D47" t="s">
        <v>639</v>
      </c>
    </row>
    <row r="48" spans="1:4" x14ac:dyDescent="0.3">
      <c r="A48" t="s">
        <v>323</v>
      </c>
      <c r="B48" t="s">
        <v>691</v>
      </c>
      <c r="C48" t="s">
        <v>644</v>
      </c>
      <c r="D48" t="s">
        <v>639</v>
      </c>
    </row>
    <row r="49" spans="1:4" x14ac:dyDescent="0.3">
      <c r="A49" t="s">
        <v>186</v>
      </c>
      <c r="B49" t="s">
        <v>692</v>
      </c>
      <c r="C49" t="s">
        <v>635</v>
      </c>
      <c r="D49" t="s">
        <v>636</v>
      </c>
    </row>
    <row r="50" spans="1:4" x14ac:dyDescent="0.3">
      <c r="A50" t="s">
        <v>56</v>
      </c>
      <c r="B50" t="s">
        <v>693</v>
      </c>
      <c r="C50" t="s">
        <v>644</v>
      </c>
      <c r="D50" t="s">
        <v>650</v>
      </c>
    </row>
    <row r="51" spans="1:4" x14ac:dyDescent="0.3">
      <c r="A51" t="s">
        <v>161</v>
      </c>
      <c r="B51" t="s">
        <v>694</v>
      </c>
      <c r="C51" t="s">
        <v>659</v>
      </c>
      <c r="D51" t="s">
        <v>650</v>
      </c>
    </row>
    <row r="52" spans="1:4" x14ac:dyDescent="0.3">
      <c r="A52" t="s">
        <v>309</v>
      </c>
      <c r="B52" t="s">
        <v>695</v>
      </c>
      <c r="C52" t="s">
        <v>635</v>
      </c>
      <c r="D52" t="s">
        <v>639</v>
      </c>
    </row>
    <row r="53" spans="1:4" x14ac:dyDescent="0.3">
      <c r="A53" t="s">
        <v>18</v>
      </c>
      <c r="B53" t="s">
        <v>696</v>
      </c>
      <c r="C53" t="s">
        <v>648</v>
      </c>
      <c r="D53" t="s">
        <v>636</v>
      </c>
    </row>
    <row r="54" spans="1:4" x14ac:dyDescent="0.3">
      <c r="A54" t="s">
        <v>123</v>
      </c>
      <c r="B54" t="s">
        <v>697</v>
      </c>
      <c r="C54" t="s">
        <v>635</v>
      </c>
      <c r="D54" t="s">
        <v>650</v>
      </c>
    </row>
    <row r="55" spans="1:4" x14ac:dyDescent="0.3">
      <c r="A55" t="s">
        <v>188</v>
      </c>
      <c r="B55" t="s">
        <v>698</v>
      </c>
      <c r="C55" t="s">
        <v>638</v>
      </c>
      <c r="D55" t="s">
        <v>636</v>
      </c>
    </row>
    <row r="56" spans="1:4" x14ac:dyDescent="0.3">
      <c r="A56" t="s">
        <v>39</v>
      </c>
      <c r="B56" t="s">
        <v>699</v>
      </c>
      <c r="C56" t="s">
        <v>638</v>
      </c>
      <c r="D56" t="s">
        <v>650</v>
      </c>
    </row>
    <row r="57" spans="1:4" x14ac:dyDescent="0.3">
      <c r="A57" t="s">
        <v>116</v>
      </c>
      <c r="B57" t="s">
        <v>700</v>
      </c>
      <c r="C57" t="s">
        <v>659</v>
      </c>
      <c r="D57" t="s">
        <v>650</v>
      </c>
    </row>
    <row r="58" spans="1:4" x14ac:dyDescent="0.3">
      <c r="A58" t="s">
        <v>130</v>
      </c>
      <c r="B58" t="s">
        <v>701</v>
      </c>
      <c r="C58" t="s">
        <v>638</v>
      </c>
      <c r="D58" t="s">
        <v>636</v>
      </c>
    </row>
    <row r="59" spans="1:4" x14ac:dyDescent="0.3">
      <c r="A59" t="s">
        <v>45</v>
      </c>
      <c r="B59" t="s">
        <v>702</v>
      </c>
      <c r="C59" t="s">
        <v>648</v>
      </c>
      <c r="D59" t="s">
        <v>639</v>
      </c>
    </row>
    <row r="60" spans="1:4" x14ac:dyDescent="0.3">
      <c r="A60" t="s">
        <v>318</v>
      </c>
      <c r="B60" t="s">
        <v>703</v>
      </c>
      <c r="C60" t="s">
        <v>641</v>
      </c>
      <c r="D60" t="s">
        <v>636</v>
      </c>
    </row>
    <row r="61" spans="1:4" x14ac:dyDescent="0.3">
      <c r="A61" t="s">
        <v>48</v>
      </c>
      <c r="B61" t="s">
        <v>704</v>
      </c>
      <c r="C61" t="s">
        <v>635</v>
      </c>
      <c r="D61" t="s">
        <v>650</v>
      </c>
    </row>
    <row r="62" spans="1:4" x14ac:dyDescent="0.3">
      <c r="A62" t="s">
        <v>13</v>
      </c>
      <c r="B62" t="s">
        <v>705</v>
      </c>
      <c r="C62" t="s">
        <v>659</v>
      </c>
      <c r="D62" t="s">
        <v>639</v>
      </c>
    </row>
    <row r="63" spans="1:4" x14ac:dyDescent="0.3">
      <c r="A63" t="s">
        <v>54</v>
      </c>
      <c r="B63" t="s">
        <v>706</v>
      </c>
      <c r="C63" t="s">
        <v>659</v>
      </c>
      <c r="D63" t="s">
        <v>636</v>
      </c>
    </row>
    <row r="64" spans="1:4" x14ac:dyDescent="0.3">
      <c r="A64" t="s">
        <v>609</v>
      </c>
      <c r="B64" t="s">
        <v>707</v>
      </c>
      <c r="C64" t="s">
        <v>641</v>
      </c>
      <c r="D64" t="s">
        <v>636</v>
      </c>
    </row>
    <row r="65" spans="1:4" x14ac:dyDescent="0.3">
      <c r="A65" t="s">
        <v>198</v>
      </c>
      <c r="B65" t="s">
        <v>708</v>
      </c>
      <c r="C65" t="s">
        <v>644</v>
      </c>
      <c r="D65" t="s">
        <v>639</v>
      </c>
    </row>
    <row r="66" spans="1:4" x14ac:dyDescent="0.3">
      <c r="A66" t="s">
        <v>304</v>
      </c>
      <c r="B66" t="s">
        <v>709</v>
      </c>
      <c r="C66" t="s">
        <v>648</v>
      </c>
      <c r="D66" t="s">
        <v>639</v>
      </c>
    </row>
    <row r="67" spans="1:4" x14ac:dyDescent="0.3">
      <c r="A67" t="s">
        <v>66</v>
      </c>
      <c r="B67" t="s">
        <v>710</v>
      </c>
      <c r="C67" t="s">
        <v>641</v>
      </c>
      <c r="D67" t="s">
        <v>639</v>
      </c>
    </row>
    <row r="68" spans="1:4" x14ac:dyDescent="0.3">
      <c r="A68" t="s">
        <v>246</v>
      </c>
      <c r="B68" t="s">
        <v>711</v>
      </c>
      <c r="C68" t="s">
        <v>648</v>
      </c>
      <c r="D68" t="s">
        <v>650</v>
      </c>
    </row>
    <row r="69" spans="1:4" x14ac:dyDescent="0.3">
      <c r="A69" t="s">
        <v>712</v>
      </c>
      <c r="B69" t="s">
        <v>713</v>
      </c>
      <c r="C69" t="s">
        <v>648</v>
      </c>
      <c r="D69" t="s">
        <v>650</v>
      </c>
    </row>
    <row r="70" spans="1:4" x14ac:dyDescent="0.3">
      <c r="A70" t="s">
        <v>78</v>
      </c>
      <c r="B70" t="s">
        <v>714</v>
      </c>
      <c r="C70" t="s">
        <v>641</v>
      </c>
      <c r="D70" t="s">
        <v>636</v>
      </c>
    </row>
    <row r="71" spans="1:4" x14ac:dyDescent="0.3">
      <c r="A71" t="s">
        <v>240</v>
      </c>
      <c r="B71" t="s">
        <v>715</v>
      </c>
      <c r="C71" t="s">
        <v>644</v>
      </c>
      <c r="D71" t="s">
        <v>639</v>
      </c>
    </row>
    <row r="72" spans="1:4" x14ac:dyDescent="0.3">
      <c r="A72" t="s">
        <v>127</v>
      </c>
      <c r="B72" t="s">
        <v>716</v>
      </c>
      <c r="C72" t="s">
        <v>659</v>
      </c>
      <c r="D72" t="s">
        <v>636</v>
      </c>
    </row>
    <row r="73" spans="1:4" x14ac:dyDescent="0.3">
      <c r="A73" t="s">
        <v>142</v>
      </c>
      <c r="B73" t="s">
        <v>717</v>
      </c>
      <c r="C73" t="s">
        <v>638</v>
      </c>
      <c r="D73" t="s">
        <v>636</v>
      </c>
    </row>
    <row r="74" spans="1:4" x14ac:dyDescent="0.3">
      <c r="A74" t="s">
        <v>196</v>
      </c>
      <c r="B74" t="s">
        <v>718</v>
      </c>
      <c r="C74" t="s">
        <v>644</v>
      </c>
      <c r="D74" t="s">
        <v>639</v>
      </c>
    </row>
    <row r="75" spans="1:4" x14ac:dyDescent="0.3">
      <c r="A75" t="s">
        <v>35</v>
      </c>
      <c r="B75" t="s">
        <v>719</v>
      </c>
      <c r="C75" t="s">
        <v>644</v>
      </c>
      <c r="D75" t="s">
        <v>639</v>
      </c>
    </row>
    <row r="76" spans="1:4" x14ac:dyDescent="0.3">
      <c r="A76" t="s">
        <v>180</v>
      </c>
      <c r="B76" t="s">
        <v>720</v>
      </c>
      <c r="C76" t="s">
        <v>659</v>
      </c>
      <c r="D76" t="s">
        <v>639</v>
      </c>
    </row>
    <row r="77" spans="1:4" x14ac:dyDescent="0.3">
      <c r="A77" t="s">
        <v>24</v>
      </c>
      <c r="B77" t="s">
        <v>721</v>
      </c>
      <c r="C77" t="s">
        <v>638</v>
      </c>
      <c r="D77" t="s">
        <v>650</v>
      </c>
    </row>
    <row r="78" spans="1:4" x14ac:dyDescent="0.3">
      <c r="A78" t="s">
        <v>237</v>
      </c>
      <c r="B78" t="s">
        <v>722</v>
      </c>
      <c r="C78" t="s">
        <v>659</v>
      </c>
      <c r="D78" t="s">
        <v>639</v>
      </c>
    </row>
    <row r="79" spans="1:4" x14ac:dyDescent="0.3">
      <c r="A79" t="s">
        <v>15</v>
      </c>
      <c r="B79" t="s">
        <v>723</v>
      </c>
      <c r="C79" t="s">
        <v>659</v>
      </c>
      <c r="D79" t="s">
        <v>639</v>
      </c>
    </row>
    <row r="80" spans="1:4" x14ac:dyDescent="0.3">
      <c r="A80" t="s">
        <v>137</v>
      </c>
      <c r="B80" t="s">
        <v>724</v>
      </c>
      <c r="C80" t="s">
        <v>641</v>
      </c>
      <c r="D80" t="s">
        <v>639</v>
      </c>
    </row>
    <row r="81" spans="1:4" x14ac:dyDescent="0.3">
      <c r="A81" t="s">
        <v>175</v>
      </c>
      <c r="B81" t="s">
        <v>725</v>
      </c>
      <c r="C81" t="s">
        <v>638</v>
      </c>
      <c r="D81" t="s">
        <v>639</v>
      </c>
    </row>
    <row r="82" spans="1:4" x14ac:dyDescent="0.3">
      <c r="A82" t="s">
        <v>221</v>
      </c>
      <c r="B82" t="s">
        <v>726</v>
      </c>
      <c r="C82" t="s">
        <v>635</v>
      </c>
      <c r="D82" t="s">
        <v>636</v>
      </c>
    </row>
    <row r="83" spans="1:4" x14ac:dyDescent="0.3">
      <c r="A83" t="s">
        <v>89</v>
      </c>
      <c r="B83" t="s">
        <v>727</v>
      </c>
      <c r="C83" t="s">
        <v>635</v>
      </c>
      <c r="D83" t="s">
        <v>639</v>
      </c>
    </row>
    <row r="84" spans="1:4" x14ac:dyDescent="0.3">
      <c r="A84" t="s">
        <v>111</v>
      </c>
      <c r="B84" t="s">
        <v>728</v>
      </c>
      <c r="C84" t="s">
        <v>641</v>
      </c>
      <c r="D84" t="s">
        <v>639</v>
      </c>
    </row>
    <row r="85" spans="1:4" x14ac:dyDescent="0.3">
      <c r="A85" t="s">
        <v>41</v>
      </c>
      <c r="B85" t="s">
        <v>729</v>
      </c>
      <c r="C85" t="s">
        <v>641</v>
      </c>
      <c r="D85" t="s">
        <v>636</v>
      </c>
    </row>
    <row r="86" spans="1:4" x14ac:dyDescent="0.3">
      <c r="A86" t="s">
        <v>132</v>
      </c>
      <c r="B86" t="s">
        <v>730</v>
      </c>
      <c r="C86" t="s">
        <v>641</v>
      </c>
      <c r="D86" t="s">
        <v>650</v>
      </c>
    </row>
    <row r="87" spans="1:4" x14ac:dyDescent="0.3">
      <c r="A87" t="s">
        <v>32</v>
      </c>
      <c r="B87" t="s">
        <v>731</v>
      </c>
      <c r="C87" t="s">
        <v>644</v>
      </c>
      <c r="D87" t="s">
        <v>650</v>
      </c>
    </row>
    <row r="88" spans="1:4" x14ac:dyDescent="0.3">
      <c r="A88" t="s">
        <v>399</v>
      </c>
      <c r="B88" t="s">
        <v>732</v>
      </c>
      <c r="C88" t="s">
        <v>638</v>
      </c>
      <c r="D88" t="s">
        <v>639</v>
      </c>
    </row>
    <row r="89" spans="1:4" x14ac:dyDescent="0.3">
      <c r="A89" t="s">
        <v>233</v>
      </c>
      <c r="B89" t="s">
        <v>733</v>
      </c>
      <c r="C89" t="s">
        <v>635</v>
      </c>
      <c r="D89" t="s">
        <v>650</v>
      </c>
    </row>
    <row r="90" spans="1:4" x14ac:dyDescent="0.3">
      <c r="A90" t="s">
        <v>151</v>
      </c>
      <c r="B90" t="s">
        <v>734</v>
      </c>
      <c r="C90" t="s">
        <v>648</v>
      </c>
      <c r="D90" t="s">
        <v>636</v>
      </c>
    </row>
    <row r="91" spans="1:4" x14ac:dyDescent="0.3">
      <c r="A91" t="s">
        <v>156</v>
      </c>
      <c r="B91" t="s">
        <v>735</v>
      </c>
      <c r="C91" t="s">
        <v>648</v>
      </c>
      <c r="D91" t="s">
        <v>636</v>
      </c>
    </row>
    <row r="92" spans="1:4" x14ac:dyDescent="0.3">
      <c r="A92" t="s">
        <v>272</v>
      </c>
      <c r="B92" t="s">
        <v>736</v>
      </c>
      <c r="C92" t="s">
        <v>635</v>
      </c>
      <c r="D92" t="s">
        <v>650</v>
      </c>
    </row>
    <row r="93" spans="1:4" x14ac:dyDescent="0.3">
      <c r="A93" t="s">
        <v>182</v>
      </c>
      <c r="B93" t="s">
        <v>737</v>
      </c>
      <c r="C93" t="s">
        <v>635</v>
      </c>
      <c r="D93" t="s">
        <v>639</v>
      </c>
    </row>
    <row r="94" spans="1:4" x14ac:dyDescent="0.3">
      <c r="A94" t="s">
        <v>276</v>
      </c>
      <c r="B94" t="s">
        <v>738</v>
      </c>
      <c r="C94" t="s">
        <v>648</v>
      </c>
      <c r="D94" t="s">
        <v>636</v>
      </c>
    </row>
    <row r="95" spans="1:4" x14ac:dyDescent="0.3">
      <c r="A95" t="s">
        <v>191</v>
      </c>
      <c r="B95" t="s">
        <v>739</v>
      </c>
      <c r="C95" t="s">
        <v>644</v>
      </c>
      <c r="D95" t="s">
        <v>650</v>
      </c>
    </row>
    <row r="96" spans="1:4" x14ac:dyDescent="0.3">
      <c r="A96" t="s">
        <v>62</v>
      </c>
      <c r="B96" t="s">
        <v>740</v>
      </c>
      <c r="C96" t="s">
        <v>644</v>
      </c>
      <c r="D96" t="s">
        <v>639</v>
      </c>
    </row>
    <row r="97" spans="1:4" x14ac:dyDescent="0.3">
      <c r="A97" t="s">
        <v>86</v>
      </c>
      <c r="B97" t="s">
        <v>741</v>
      </c>
      <c r="C97" t="s">
        <v>648</v>
      </c>
      <c r="D97" t="s">
        <v>636</v>
      </c>
    </row>
    <row r="98" spans="1:4" x14ac:dyDescent="0.3">
      <c r="A98" t="s">
        <v>52</v>
      </c>
      <c r="B98" t="s">
        <v>742</v>
      </c>
      <c r="C98" t="s">
        <v>648</v>
      </c>
      <c r="D98" t="s">
        <v>650</v>
      </c>
    </row>
    <row r="99" spans="1:4" x14ac:dyDescent="0.3">
      <c r="A99" t="s">
        <v>224</v>
      </c>
      <c r="B99" t="s">
        <v>743</v>
      </c>
      <c r="C99" t="s">
        <v>659</v>
      </c>
      <c r="D99" t="s">
        <v>636</v>
      </c>
    </row>
    <row r="100" spans="1:4" x14ac:dyDescent="0.3">
      <c r="A100" t="s">
        <v>486</v>
      </c>
      <c r="B100" t="s">
        <v>744</v>
      </c>
      <c r="C100" t="s">
        <v>638</v>
      </c>
      <c r="D100" t="s">
        <v>650</v>
      </c>
    </row>
    <row r="101" spans="1:4" x14ac:dyDescent="0.3">
      <c r="A101" t="s">
        <v>101</v>
      </c>
      <c r="B101" t="s">
        <v>745</v>
      </c>
      <c r="C101" t="s">
        <v>641</v>
      </c>
      <c r="D101" t="s">
        <v>636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0" customWidth="1"/>
  </cols>
  <sheetData>
    <row r="1" spans="1:2" x14ac:dyDescent="0.3">
      <c r="A1" t="s">
        <v>746</v>
      </c>
      <c r="B1" t="s">
        <v>747</v>
      </c>
    </row>
    <row r="2" spans="1:2" x14ac:dyDescent="0.3">
      <c r="A2" t="s">
        <v>748</v>
      </c>
      <c r="B2" t="s">
        <v>749</v>
      </c>
    </row>
    <row r="3" spans="1:2" x14ac:dyDescent="0.3">
      <c r="A3" t="s">
        <v>750</v>
      </c>
      <c r="B3" t="s">
        <v>751</v>
      </c>
    </row>
    <row r="4" spans="1:2" x14ac:dyDescent="0.3">
      <c r="A4" t="s">
        <v>752</v>
      </c>
      <c r="B4" t="s">
        <v>753</v>
      </c>
    </row>
    <row r="5" spans="1:2" x14ac:dyDescent="0.3">
      <c r="A5" t="s">
        <v>754</v>
      </c>
      <c r="B5" t="s">
        <v>755</v>
      </c>
    </row>
    <row r="6" spans="1:2" x14ac:dyDescent="0.3">
      <c r="A6" t="s">
        <v>756</v>
      </c>
      <c r="B6" t="s">
        <v>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Pivot_Category</vt:lpstr>
      <vt:lpstr>Pivot_Region</vt:lpstr>
      <vt:lpstr>Pivot_Segment</vt:lpstr>
      <vt:lpstr>Pivot_Monthly</vt:lpstr>
      <vt:lpstr>Raw_Sales</vt:lpstr>
      <vt:lpstr>Products</vt:lpstr>
      <vt:lpstr>Customers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Sondarava</cp:lastModifiedBy>
  <dcterms:created xsi:type="dcterms:W3CDTF">2026-09-24T13:19:44Z</dcterms:created>
  <dcterms:modified xsi:type="dcterms:W3CDTF">2026-09-24T15:20:50Z</dcterms:modified>
</cp:coreProperties>
</file>